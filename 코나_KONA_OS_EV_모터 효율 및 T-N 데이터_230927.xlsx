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g geonuk\Desktop\"/>
    </mc:Choice>
  </mc:AlternateContent>
  <xr:revisionPtr revIDLastSave="0" documentId="8_{FE5DFC89-C1E9-4DB7-9A41-A399919046C7}" xr6:coauthVersionLast="47" xr6:coauthVersionMax="47" xr10:uidLastSave="{00000000-0000-0000-0000-000000000000}"/>
  <bookViews>
    <workbookView xWindow="-38520" yWindow="-120" windowWidth="38640" windowHeight="21120" xr2:uid="{0417445A-9DFC-49E4-B141-E66DFD5D9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0" i="1" l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<sst xmlns="http://schemas.openxmlformats.org/spreadsheetml/2006/main" count="142" uniqueCount="142">
  <si>
    <t>Power factor_U[]</t>
  </si>
  <si>
    <t>Power factor_V[]</t>
  </si>
  <si>
    <t>Power factor_W[]</t>
  </si>
  <si>
    <t>Power_U[]</t>
  </si>
  <si>
    <t>Power_V[]</t>
  </si>
  <si>
    <t>Power_W[]</t>
  </si>
  <si>
    <t>Power_AC (SIGMA)[]</t>
  </si>
  <si>
    <t>UDC[]</t>
  </si>
  <si>
    <t>IDC[]</t>
  </si>
  <si>
    <t>Power_DC[]</t>
  </si>
  <si>
    <t>Speed[]</t>
  </si>
  <si>
    <t>Torque[]</t>
  </si>
  <si>
    <t>Power_Mech.[]</t>
  </si>
  <si>
    <t>Inv_구동효율[]</t>
  </si>
  <si>
    <t>Inv_발전효율[]</t>
  </si>
  <si>
    <t>Motor_구동효율[]</t>
  </si>
  <si>
    <t>Motor_발전효율[]</t>
  </si>
  <si>
    <t>(LC) IGBT TEMP. MAX[]</t>
  </si>
  <si>
    <t>(B) IGBT_TEMP[]</t>
  </si>
  <si>
    <t>(INV) IGBT_U_TEMP[]</t>
  </si>
  <si>
    <t>(INV) IGBT_V_TEMP[]</t>
  </si>
  <si>
    <t>(INV) IGBT_W_TEMP[]</t>
  </si>
  <si>
    <t>SysEff</t>
    <phoneticPr fontId="1" type="noConversion"/>
  </si>
  <si>
    <t>Torque</t>
    <phoneticPr fontId="1" type="noConversion"/>
  </si>
  <si>
    <t>pp_KONA_Effmap_20230921_250rpm_25Nm.xlsx</t>
  </si>
  <si>
    <t>pp_KONA_Effmap_20230921_250rpm_50Nm.xlsx</t>
  </si>
  <si>
    <t>pp_KONA_Effmap_20230921_250rpm_100Nm.xlsx</t>
  </si>
  <si>
    <t>pp_KONA_Effmap_20230921_250rpm_150Nm.xlsx</t>
  </si>
  <si>
    <t>pp_KONA_Effmap_20230921_250rpm_200Nm.xlsx</t>
  </si>
  <si>
    <t>pp_KONA_Effmap_20230921_250rpm_250Nm.xlsx</t>
  </si>
  <si>
    <t>pp_KONA_Effmap_20230921_250rpm_300Nm.xlsx</t>
  </si>
  <si>
    <t>pp_KONA_Effmap_20230921_250rpm_350Nm.xlsx</t>
  </si>
  <si>
    <t>pp_KONA_Effmap_20230921_250rpm_395Nm.xlsx</t>
  </si>
  <si>
    <t>pp_KONA_Effmap_20230921_500rpm_25Nm.xlsx</t>
  </si>
  <si>
    <t>pp_KONA_Effmap_20230921_500rpm_50Nm.xlsx</t>
  </si>
  <si>
    <t>pp_KONA_Effmap_20230921_500rpm_100Nm.xlsx</t>
  </si>
  <si>
    <t>pp_KONA_Effmap_20230921_500rpm_150Nm.xlsx</t>
  </si>
  <si>
    <t>pp_KONA_Effmap_20230921_500rpm_200Nm.xlsx</t>
  </si>
  <si>
    <t>pp_KONA_Effmap_20230921_500rpm_250Nm.xlsx</t>
  </si>
  <si>
    <t>pp_KONA_Effmap_20230921_500rpm_300Nm.xlsx</t>
  </si>
  <si>
    <t>pp_KONA_Effmap_20230921_500rpm_350Nm.xlsx</t>
  </si>
  <si>
    <t>pp_KONA_Effmap_20230921_500rpm_395Nm.xlsx</t>
  </si>
  <si>
    <t>pp_KONA_Effmap_20230921_1000rpm_25Nm.xlsx</t>
  </si>
  <si>
    <t>pp_KONA_Effmap_20230921_1000rpm_50Nm.xlsx</t>
  </si>
  <si>
    <t>pp_KONA_Effmap_20230921_1000rpm_100Nm.xlsx</t>
  </si>
  <si>
    <t>pp_KONA_Effmap_20230921_1000rpm_150Nm.xlsx</t>
  </si>
  <si>
    <t>pp_KONA_Effmap_20230921_1000rpm_200Nm.xlsx</t>
  </si>
  <si>
    <t>pp_KONA_Effmap_20230921_1000rpm_250Nm.xlsx</t>
  </si>
  <si>
    <t>pp_KONA_Effmap_20230921_1000rpm_300Nm.xlsx</t>
  </si>
  <si>
    <t>pp_KONA_Effmap_20230921_1000rpm_350Nm.xlsx</t>
  </si>
  <si>
    <t>pp_KONA_Effmap_20230921_1000rpm_395Nm.xlsx</t>
  </si>
  <si>
    <t>pp_KONA_Effmap_20230921_1500rpm_25Nm.xlsx</t>
  </si>
  <si>
    <t>pp_KONA_Effmap_20230921_1500rpm_50Nm.xlsx</t>
  </si>
  <si>
    <t>pp_KONA_Effmap_20230921_1500rpm_100Nm.xlsx</t>
  </si>
  <si>
    <t>pp_KONA_Effmap_20230921_1500rpm_150Nm.xlsx</t>
  </si>
  <si>
    <t>pp_KONA_Effmap_20230921_1500rpm_200Nm.xlsx</t>
  </si>
  <si>
    <t>pp_KONA_Effmap_20230921_1500rpm_250Nm.xlsx</t>
  </si>
  <si>
    <t>pp_KONA_Effmap_20230921_1500rpm_300Nm.xlsx</t>
  </si>
  <si>
    <t>pp_KONA_Effmap_20230921_1500rpm_350Nm.xlsx</t>
  </si>
  <si>
    <t>pp_KONA_Effmap_20230921_1500rpm_395Nm.xlsx</t>
  </si>
  <si>
    <t>pp_KONA_Effmap_20230921_2000rpm_25Nm.xlsx</t>
  </si>
  <si>
    <t>pp_KONA_Effmap_20230921_2000rpm_50Nm.xlsx</t>
  </si>
  <si>
    <t>pp_KONA_Effmap_20230921_2000rpm_100Nm.xlsx</t>
  </si>
  <si>
    <t>pp_KONA_Effmap_20230921_2000rpm_150Nm.xlsx</t>
  </si>
  <si>
    <t>pp_KONA_Effmap_20230921_2000rpm_200Nm.xlsx</t>
  </si>
  <si>
    <t>pp_KONA_Effmap_20230921_2000rpm_250Nm.xlsx</t>
  </si>
  <si>
    <t>pp_KONA_Effmap_20230921_2000rpm_300Nm.xlsx</t>
  </si>
  <si>
    <t>pp_KONA_Effmap_20230921_2000rpm_350Nm.xlsx</t>
  </si>
  <si>
    <t>pp_KONA_Effmap_20230921_2000rpm_395Nm.xlsx</t>
  </si>
  <si>
    <t>pp_KONA_Effmap_20230921_2500rpm_25Nm.xlsx</t>
  </si>
  <si>
    <t>pp_KONA_Effmap_20230921_2500rpm_50Nm.xlsx</t>
  </si>
  <si>
    <t>pp_KONA_Effmap_20230921_2500rpm_100Nm.xlsx</t>
  </si>
  <si>
    <t>pp_KONA_Effmap_20230921_2500rpm_150Nm.xlsx</t>
  </si>
  <si>
    <t>pp_KONA_Effmap_20230921_2500rpm_200Nm.xlsx</t>
  </si>
  <si>
    <t>pp_KONA_Effmap_20230921_2500rpm_250Nm.xlsx</t>
  </si>
  <si>
    <t>pp_KONA_Effmap_20230921_2500rpm_300Nm.xlsx</t>
  </si>
  <si>
    <t>pp_KONA_Effmap_20230921_2500rpm_350Nm.xlsx</t>
  </si>
  <si>
    <t>pp_KONA_Effmap_20230921_2500rpm_395Nm.xlsx</t>
  </si>
  <si>
    <t>pp_KONA_Effmap_20230921_3000rpm_25Nm.xlsx</t>
  </si>
  <si>
    <t>pp_KONA_Effmap_20230921_3000rpm_50Nm.xlsx</t>
  </si>
  <si>
    <t>pp_KONA_Effmap_20230921_3000rpm_100Nm.xlsx</t>
  </si>
  <si>
    <t>pp_KONA_Effmap_20230921_3000rpm_150Nm.xlsx</t>
  </si>
  <si>
    <t>pp_KONA_Effmap_20230921_3000rpm_200Nm.xlsx</t>
  </si>
  <si>
    <t>pp_KONA_Effmap_20230921_3000rpm_250Nm.xlsx</t>
  </si>
  <si>
    <t>pp_KONA_Effmap_20230921_3000rpm_300Nm.xlsx</t>
  </si>
  <si>
    <t>pp_KONA_Effmap_20230921_3000rpm_350Nm.xlsx</t>
  </si>
  <si>
    <t>pp_KONA_Effmap_20230921_3000rpm_395Nm.xlsx</t>
  </si>
  <si>
    <t>pp_KONA_Effmap_20230921_3627rpm_25Nm.xlsx</t>
  </si>
  <si>
    <t>pp_KONA_Effmap_20230921_3627rpm_50Nm.xlsx</t>
  </si>
  <si>
    <t>pp_KONA_Effmap_20230921_3627rpm_100Nm.xlsx</t>
  </si>
  <si>
    <t>pp_KONA_Effmap_20230921_3627rpm_150Nm.xlsx</t>
  </si>
  <si>
    <t>pp_KONA_Effmap_20230921_3627rpm_200Nm.xlsx</t>
  </si>
  <si>
    <t>pp_KONA_Effmap_20230921_3627rpm_250Nm.xlsx</t>
  </si>
  <si>
    <t>pp_KONA_Effmap_20230921_3627rpm_300Nm.xlsx</t>
  </si>
  <si>
    <t>pp_KONA_Effmap_20230921_3627rpm_350Nm.xlsx</t>
  </si>
  <si>
    <t>pp_KONA_Effmap_20230921_3627rpm_395Nm.xlsx</t>
  </si>
  <si>
    <t>pp_KONA_Effmap_20230921_4000rpm_25Nm.xlsx</t>
  </si>
  <si>
    <t>pp_KONA_Effmap_20230921_4000rpm_50Nm.xlsx</t>
  </si>
  <si>
    <t>pp_KONA_Effmap_20230921_4000rpm_100Nm.xlsx</t>
  </si>
  <si>
    <t>pp_KONA_Effmap_20230921_4000rpm_150Nm.xlsx</t>
  </si>
  <si>
    <t>pp_KONA_Effmap_20230921_4000rpm_200Nm.xlsx</t>
  </si>
  <si>
    <t>pp_KONA_Effmap_20230921_4000rpm_250Nm.xlsx</t>
  </si>
  <si>
    <t>pp_KONA_Effmap_20230921_4000rpm_300Nm.xlsx</t>
  </si>
  <si>
    <t>pp_KONA_Effmap_20230921_4000rpm_350Nm.xlsx</t>
  </si>
  <si>
    <t>pp_KONA_Effmap_20230921_4000rpm_358Nm.xlsx</t>
  </si>
  <si>
    <t>pp_KONA_Effmap_20230921_5000rpm_25Nm.xlsx</t>
  </si>
  <si>
    <t>pp_KONA_Effmap_20230921_5000rpm_50Nm.xlsx</t>
  </si>
  <si>
    <t>pp_KONA_Effmap_20230921_5000rpm_100Nm.xlsx</t>
  </si>
  <si>
    <t>pp_KONA_Effmap_20230921_5000rpm_150Nm.xlsx</t>
  </si>
  <si>
    <t>pp_KONA_Effmap_20230921_5000rpm_200Nm.xlsx</t>
  </si>
  <si>
    <t>pp_KONA_Effmap_20230921_5000rpm_250Nm.xlsx</t>
  </si>
  <si>
    <t>pp_KONA_Effmap_20230921_5000rpm_286Nm.xlsx</t>
  </si>
  <si>
    <t>pp_KONA_Effmap_20230921_6000rpm_25Nm.xlsx</t>
  </si>
  <si>
    <t>pp_KONA_Effmap_20230921_6000rpm_50Nm.xlsx</t>
  </si>
  <si>
    <t>pp_KONA_Effmap_20230921_6000rpm_100Nm.xlsx</t>
  </si>
  <si>
    <t>pp_KONA_Effmap_20230921_6000rpm_150Nm.xlsx</t>
  </si>
  <si>
    <t>pp_KONA_Effmap_20230921_6000rpm_200Nm.xlsx</t>
  </si>
  <si>
    <t>pp_KONA_Effmap_20230921_6000rpm_238Nm.xlsx</t>
  </si>
  <si>
    <t>pp_KONA_Effmap_20230921_7000rpm_25Nm.xlsx</t>
  </si>
  <si>
    <t>pp_KONA_Effmap_20230921_7000rpm_50Nm.xlsx</t>
  </si>
  <si>
    <t>pp_KONA_Effmap_20230921_7000rpm_100Nm.xlsx</t>
  </si>
  <si>
    <t>pp_KONA_Effmap_20230921_7000rpm_150Nm.xlsx</t>
  </si>
  <si>
    <t>pp_KONA_Effmap_20230921_7000rpm_200Nm.xlsx</t>
  </si>
  <si>
    <t>pp_KONA_Effmap_20230921_7000rpm_204Nm.xlsx</t>
  </si>
  <si>
    <t>pp_KONA_Effmap_20230921_8000rpm_25Nm.xlsx</t>
  </si>
  <si>
    <t>pp_KONA_Effmap_20230921_8000rpm_50Nm.xlsx</t>
  </si>
  <si>
    <t>pp_KONA_Effmap_20230921_8000rpm_100Nm.xlsx</t>
  </si>
  <si>
    <t>pp_KONA_Effmap_20230921_8000rpm_150Nm.xlsx</t>
  </si>
  <si>
    <t>pp_KONA_Effmap_20230921_8000rpm_179Nm.xlsx</t>
  </si>
  <si>
    <t>pp_KONA_Effmap_20230921_9000rpm_25Nm.xlsx</t>
  </si>
  <si>
    <t>pp_KONA_Effmap_20230921_9000rpm_50Nm.xlsx</t>
  </si>
  <si>
    <t>pp_KONA_Effmap_20230921_9000rpm_100Nm.xlsx</t>
  </si>
  <si>
    <t>pp_KONA_Effmap_20230921_9000rpm_150Nm.xlsx</t>
  </si>
  <si>
    <t>pp_KONA_Effmap_20230921_9000rpm_159Nm.xlsx</t>
  </si>
  <si>
    <t>pp_KONA_Effmap_20230921_10005rpm_25Nm.xlsx</t>
  </si>
  <si>
    <t>pp_KONA_Effmap_20230921_10005rpm_50Nm.xlsx</t>
  </si>
  <si>
    <t>pp_KONA_Effmap_20230921_10005rpm_100Nm.xlsx</t>
  </si>
  <si>
    <t>pp_KONA_Effmap_20230921_10005rpm_143Nm.xlsx</t>
  </si>
  <si>
    <t>pp_KONA_Effmap_20230921_11000rpm_25Nm.xlsx</t>
  </si>
  <si>
    <t>pp_KONA_Effmap_20230921_11000rpm_50Nm.xlsx</t>
  </si>
  <si>
    <t>pp_KONA_Effmap_20230921_11000rpm_100Nm.xlsx</t>
  </si>
  <si>
    <t>pp_KONA_Effmap_20230921_11000rpm_130Nm.xlsx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</si>
</sst>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016-03AA-4E26-95FD-5FBBF8F227A9}">
  <dimension ref="B2:Z120"/>
  <sheetViews>
    <sheetView tabSelected="1" zoomScale="85" zoomScaleNormal="85" workbookViewId="0">
      <selection activeCell="P41" sqref="P41"/>
    </sheetView>
  </sheetViews>
  <sheetFormatPr defaultRowHeight="17" x14ac:dyDescent="0.45"/>
  <cols>
    <col min="2" max="2" width="48.25" bestFit="1" customWidth="1"/>
    <col min="3" max="26" width="9.83203125" customWidth="1"/>
  </cols>
  <sheetData>
    <row r="2" spans="2:26" x14ac:dyDescent="0.4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3" t="s">
        <v>22</v>
      </c>
      <c r="Z2" s="3" t="s">
        <v>23</v>
      </c>
    </row>
    <row r="3" spans="2:26" x14ac:dyDescent="0.45">
      <c r="B3" s="1" t="s">
        <v>24</v>
      </c>
      <c r="C3" s="4">
        <v>3.768656716417914E-2</v>
      </c>
      <c r="D3" s="4">
        <v>4.925373134328373E-2</v>
      </c>
      <c r="E3" s="4">
        <v>5.4402985074627042E-2</v>
      </c>
      <c r="F3" s="4">
        <v>217.20895522388059</v>
      </c>
      <c r="G3" s="4">
        <v>278.08955223880599</v>
      </c>
      <c r="H3" s="4">
        <v>315.38805970149252</v>
      </c>
      <c r="I3" s="4">
        <v>810.80597014925377</v>
      </c>
      <c r="J3" s="4">
        <v>419.15600746268649</v>
      </c>
      <c r="K3" s="4">
        <v>2.0515298507462671</v>
      </c>
      <c r="L3" s="4">
        <v>859.10074626865674</v>
      </c>
      <c r="M3" s="4">
        <v>250.54850746268656</v>
      </c>
      <c r="N3" s="4">
        <v>25.091305970149236</v>
      </c>
      <c r="O3" s="4">
        <v>658.54477611940297</v>
      </c>
      <c r="P3" s="4">
        <v>94.528283582089585</v>
      </c>
      <c r="Q3" s="4">
        <v>105.95798507462686</v>
      </c>
      <c r="R3" s="4">
        <v>81.52555970149254</v>
      </c>
      <c r="S3" s="4">
        <v>123.1429104477611</v>
      </c>
      <c r="T3" s="4">
        <v>35.558955223880709</v>
      </c>
      <c r="U3" s="4">
        <v>29.499253731343284</v>
      </c>
      <c r="V3" s="4">
        <v>38.683955223880673</v>
      </c>
      <c r="W3" s="4">
        <v>38.683955223880673</v>
      </c>
      <c r="X3" s="4">
        <v>38.683955223880673</v>
      </c>
      <c r="Y3" s="5">
        <f>P3*R3*0.01</f>
        <v>77.064712266512615</v>
      </c>
      <c r="Z3" s="4">
        <v>395</v>
      </c>
    </row>
    <row r="4" spans="2:26" x14ac:dyDescent="0.45">
      <c r="B4" s="1" t="s">
        <v>25</v>
      </c>
      <c r="C4" s="4">
        <v>4.999999999999992E-2</v>
      </c>
      <c r="D4" s="4">
        <v>5.0595238095238013E-2</v>
      </c>
      <c r="E4" s="4">
        <v>5.0595238095237999E-2</v>
      </c>
      <c r="F4" s="4">
        <v>510.63095238095241</v>
      </c>
      <c r="G4" s="4">
        <v>530.07142857142856</v>
      </c>
      <c r="H4" s="4">
        <v>544.39285714285711</v>
      </c>
      <c r="I4" s="4">
        <v>1584.9285714285713</v>
      </c>
      <c r="J4" s="4">
        <v>419.16452380952353</v>
      </c>
      <c r="K4" s="4">
        <v>4.0308333333333355</v>
      </c>
      <c r="L4" s="4">
        <v>1689.202380952381</v>
      </c>
      <c r="M4" s="4">
        <v>250.0952380952381</v>
      </c>
      <c r="N4" s="4">
        <v>50.800119047619113</v>
      </c>
      <c r="O4" s="4">
        <v>1329.2857142857142</v>
      </c>
      <c r="P4" s="4">
        <v>93.820833333333283</v>
      </c>
      <c r="Q4" s="4">
        <v>106.5915476190476</v>
      </c>
      <c r="R4" s="4">
        <v>83.939523809523806</v>
      </c>
      <c r="S4" s="4">
        <v>119.14190476190481</v>
      </c>
      <c r="T4" s="4">
        <v>35.559523809523775</v>
      </c>
      <c r="U4" s="4">
        <v>29.5</v>
      </c>
      <c r="V4" s="4">
        <v>38.699999999999953</v>
      </c>
      <c r="W4" s="4">
        <v>38.699999999999953</v>
      </c>
      <c r="X4" s="4">
        <v>38.699999999999953</v>
      </c>
      <c r="Y4" s="5">
        <f t="shared" ref="Y4:Y67" si="0">P4*R4*0.01</f>
        <v>78.752760734126937</v>
      </c>
      <c r="Z4" s="4">
        <v>395</v>
      </c>
    </row>
    <row r="5" spans="2:26" x14ac:dyDescent="0.45">
      <c r="B5" s="1" t="s">
        <v>26</v>
      </c>
      <c r="C5" s="4">
        <v>5.9999999999999956E-2</v>
      </c>
      <c r="D5" s="4">
        <v>5.9999999999999956E-2</v>
      </c>
      <c r="E5" s="4">
        <v>6.0588235294117644E-2</v>
      </c>
      <c r="F5" s="4">
        <v>1109.6823529411765</v>
      </c>
      <c r="G5" s="4">
        <v>1119.6705882352942</v>
      </c>
      <c r="H5" s="4">
        <v>1155.1176470588234</v>
      </c>
      <c r="I5" s="4">
        <v>3384.4352941176471</v>
      </c>
      <c r="J5" s="4">
        <v>419.18058823529384</v>
      </c>
      <c r="K5" s="4">
        <v>8.6756470588235306</v>
      </c>
      <c r="L5" s="4">
        <v>3636.0588235294117</v>
      </c>
      <c r="M5" s="4">
        <v>250.97647058823529</v>
      </c>
      <c r="N5" s="4">
        <v>101.6081176470588</v>
      </c>
      <c r="O5" s="4">
        <v>2671.7647058823532</v>
      </c>
      <c r="P5" s="4">
        <v>93.077764705882387</v>
      </c>
      <c r="Q5" s="4">
        <v>107.43964705882347</v>
      </c>
      <c r="R5" s="4">
        <v>79.354470588235301</v>
      </c>
      <c r="S5" s="4">
        <v>126.57929411764708</v>
      </c>
      <c r="T5" s="4">
        <v>35.583529411764665</v>
      </c>
      <c r="U5" s="4">
        <v>29.597647058823483</v>
      </c>
      <c r="V5" s="4">
        <v>38.821176470588263</v>
      </c>
      <c r="W5" s="4">
        <v>38.821176470588263</v>
      </c>
      <c r="X5" s="4">
        <v>38.821176470588263</v>
      </c>
      <c r="Y5" s="5">
        <f t="shared" si="0"/>
        <v>73.861367417716309</v>
      </c>
      <c r="Z5" s="4">
        <v>395</v>
      </c>
    </row>
    <row r="6" spans="2:26" x14ac:dyDescent="0.45">
      <c r="B6" s="1" t="s">
        <v>27</v>
      </c>
      <c r="C6" s="4">
        <v>6.3499999999999945E-2</v>
      </c>
      <c r="D6" s="4">
        <v>6.387499999999996E-2</v>
      </c>
      <c r="E6" s="4">
        <v>6.3875000000000001E-2</v>
      </c>
      <c r="F6" s="4">
        <v>1685.7375</v>
      </c>
      <c r="G6" s="4">
        <v>1722.1624999999999</v>
      </c>
      <c r="H6" s="4">
        <v>1688.8875</v>
      </c>
      <c r="I6" s="4">
        <v>5097.0375000000004</v>
      </c>
      <c r="J6" s="4">
        <v>419.14849999999996</v>
      </c>
      <c r="K6" s="4">
        <v>13.150749999999984</v>
      </c>
      <c r="L6" s="4">
        <v>5511.2375000000002</v>
      </c>
      <c r="M6" s="4">
        <v>250.9</v>
      </c>
      <c r="N6" s="4">
        <v>151.84075000000001</v>
      </c>
      <c r="O6" s="4">
        <v>3986.375</v>
      </c>
      <c r="P6" s="4">
        <v>92.483625000000046</v>
      </c>
      <c r="Q6" s="4">
        <v>108.12899999999999</v>
      </c>
      <c r="R6" s="4">
        <v>78.233500000000021</v>
      </c>
      <c r="S6" s="4">
        <v>127.82799999999995</v>
      </c>
      <c r="T6" s="4">
        <v>35.586249999999957</v>
      </c>
      <c r="U6" s="4">
        <v>29.599999999999955</v>
      </c>
      <c r="V6" s="4">
        <v>38.900000000000055</v>
      </c>
      <c r="W6" s="4">
        <v>38.900000000000055</v>
      </c>
      <c r="X6" s="4">
        <v>38.900000000000055</v>
      </c>
      <c r="Y6" s="5">
        <f t="shared" si="0"/>
        <v>72.353176764375064</v>
      </c>
      <c r="Z6" s="4">
        <v>395</v>
      </c>
    </row>
    <row r="7" spans="2:26" x14ac:dyDescent="0.45">
      <c r="B7" s="1" t="s">
        <v>28</v>
      </c>
      <c r="C7" s="4">
        <v>6.7398373983739865E-2</v>
      </c>
      <c r="D7" s="4">
        <v>6.910569105691057E-2</v>
      </c>
      <c r="E7" s="4">
        <v>6.6585365853658568E-2</v>
      </c>
      <c r="F7" s="4">
        <v>2345.4471544715448</v>
      </c>
      <c r="G7" s="4">
        <v>2441.7235772357722</v>
      </c>
      <c r="H7" s="4">
        <v>2339.5528455284552</v>
      </c>
      <c r="I7" s="4">
        <v>7126.6341463414637</v>
      </c>
      <c r="J7" s="4">
        <v>419.16219512195158</v>
      </c>
      <c r="K7" s="4">
        <v>18.50447154471545</v>
      </c>
      <c r="L7" s="4">
        <v>7756.5772357723581</v>
      </c>
      <c r="M7" s="4">
        <v>252.64227642276424</v>
      </c>
      <c r="N7" s="4">
        <v>202.45772357723587</v>
      </c>
      <c r="O7" s="4">
        <v>5356.2601626016258</v>
      </c>
      <c r="P7" s="4">
        <v>91.879186991869972</v>
      </c>
      <c r="Q7" s="4">
        <v>108.8387804878047</v>
      </c>
      <c r="R7" s="4">
        <v>75.167967479674886</v>
      </c>
      <c r="S7" s="4">
        <v>133.05016260162591</v>
      </c>
      <c r="T7" s="4">
        <v>35.615447154471511</v>
      </c>
      <c r="U7" s="4">
        <v>29.599999999999937</v>
      </c>
      <c r="V7" s="4">
        <v>38.99512195121951</v>
      </c>
      <c r="W7" s="4">
        <v>38.99512195121951</v>
      </c>
      <c r="X7" s="4">
        <v>38.99512195121951</v>
      </c>
      <c r="Y7" s="5">
        <f t="shared" si="0"/>
        <v>69.063717398638502</v>
      </c>
      <c r="Z7" s="4">
        <v>395</v>
      </c>
    </row>
    <row r="8" spans="2:26" x14ac:dyDescent="0.45">
      <c r="B8" s="1" t="s">
        <v>29</v>
      </c>
      <c r="C8" s="4">
        <v>7.3142857142857148E-2</v>
      </c>
      <c r="D8" s="4">
        <v>7.3523809523809616E-2</v>
      </c>
      <c r="E8" s="4">
        <v>7.2857142857142898E-2</v>
      </c>
      <c r="F8" s="4">
        <v>3111.7809523809524</v>
      </c>
      <c r="G8" s="4">
        <v>3144.4285714285716</v>
      </c>
      <c r="H8" s="4">
        <v>3075.1619047619047</v>
      </c>
      <c r="I8" s="4">
        <v>9331.3238095238103</v>
      </c>
      <c r="J8" s="4">
        <v>419.18009523809565</v>
      </c>
      <c r="K8" s="4">
        <v>24.34085714285715</v>
      </c>
      <c r="L8" s="4">
        <v>10203.87619047619</v>
      </c>
      <c r="M8" s="4">
        <v>252.48571428571429</v>
      </c>
      <c r="N8" s="4">
        <v>252.59171428571432</v>
      </c>
      <c r="O8" s="4">
        <v>6678.5714285714284</v>
      </c>
      <c r="P8" s="4">
        <v>91.448761904761881</v>
      </c>
      <c r="Q8" s="4">
        <v>109.35171428571427</v>
      </c>
      <c r="R8" s="4">
        <v>71.581047619047638</v>
      </c>
      <c r="S8" s="4">
        <v>139.72933333333327</v>
      </c>
      <c r="T8" s="4">
        <v>35.618095238095187</v>
      </c>
      <c r="U8" s="4">
        <v>29.64380952380948</v>
      </c>
      <c r="V8" s="4">
        <v>39.109523809523743</v>
      </c>
      <c r="W8" s="4">
        <v>39.109523809523743</v>
      </c>
      <c r="X8" s="4">
        <v>39.109523809523743</v>
      </c>
      <c r="Y8" s="5">
        <f t="shared" si="0"/>
        <v>65.459981806077096</v>
      </c>
      <c r="Z8" s="4">
        <v>395</v>
      </c>
    </row>
    <row r="9" spans="2:26" x14ac:dyDescent="0.45">
      <c r="B9" s="1" t="s">
        <v>30</v>
      </c>
      <c r="C9" s="4">
        <v>7.6086956521739205E-2</v>
      </c>
      <c r="D9" s="4">
        <v>7.6811594202898598E-2</v>
      </c>
      <c r="E9" s="4">
        <v>7.4130434782608792E-2</v>
      </c>
      <c r="F9" s="4">
        <v>4016.8115942028985</v>
      </c>
      <c r="G9" s="4">
        <v>4122.971014492754</v>
      </c>
      <c r="H9" s="4">
        <v>3796.9565217391305</v>
      </c>
      <c r="I9" s="4">
        <v>11937.463768115942</v>
      </c>
      <c r="J9" s="4">
        <v>419.17536231884031</v>
      </c>
      <c r="K9" s="4">
        <v>31.340000000000032</v>
      </c>
      <c r="L9" s="4">
        <v>13137.173913043478</v>
      </c>
      <c r="M9" s="4">
        <v>252.19565217391303</v>
      </c>
      <c r="N9" s="4">
        <v>303.00956521739118</v>
      </c>
      <c r="O9" s="4">
        <v>7998.478260869565</v>
      </c>
      <c r="P9" s="4">
        <v>90.859420289855095</v>
      </c>
      <c r="Q9" s="4">
        <v>110.06000000000019</v>
      </c>
      <c r="R9" s="4">
        <v>67.087898550724702</v>
      </c>
      <c r="S9" s="4">
        <v>149.18898550724612</v>
      </c>
      <c r="T9" s="4">
        <v>35.615217391304348</v>
      </c>
      <c r="U9" s="4">
        <v>29.699275362318769</v>
      </c>
      <c r="V9" s="4">
        <v>39.260144927536324</v>
      </c>
      <c r="W9" s="4">
        <v>39.260144927536324</v>
      </c>
      <c r="X9" s="4">
        <v>39.260144927536324</v>
      </c>
      <c r="Y9" s="5">
        <f t="shared" si="0"/>
        <v>60.955675707834565</v>
      </c>
      <c r="Z9" s="4">
        <v>395</v>
      </c>
    </row>
    <row r="10" spans="2:26" x14ac:dyDescent="0.45">
      <c r="B10" s="1" t="s">
        <v>31</v>
      </c>
      <c r="C10" s="4">
        <v>8.0192307692307688E-2</v>
      </c>
      <c r="D10" s="4">
        <v>8.2500000000000004E-2</v>
      </c>
      <c r="E10" s="4">
        <v>7.903846153846153E-2</v>
      </c>
      <c r="F10" s="4">
        <v>4798.4615384615381</v>
      </c>
      <c r="G10" s="4">
        <v>5553.4615384615381</v>
      </c>
      <c r="H10" s="4">
        <v>4770.5769230769229</v>
      </c>
      <c r="I10" s="4">
        <v>15122.5</v>
      </c>
      <c r="J10" s="4">
        <v>419.19173076923101</v>
      </c>
      <c r="K10" s="4">
        <v>38.536923076923074</v>
      </c>
      <c r="L10" s="4">
        <v>16157.615384615385</v>
      </c>
      <c r="M10" s="4">
        <v>252.82692307692307</v>
      </c>
      <c r="N10" s="4">
        <v>353.62942307692276</v>
      </c>
      <c r="O10" s="4">
        <v>9360.5769230769238</v>
      </c>
      <c r="P10" s="4">
        <v>93.606538461538392</v>
      </c>
      <c r="Q10" s="4">
        <v>106.84173076923069</v>
      </c>
      <c r="R10" s="4">
        <v>61.908269230769193</v>
      </c>
      <c r="S10" s="4">
        <v>161.59442307692308</v>
      </c>
      <c r="T10" s="4">
        <v>35.611538461538437</v>
      </c>
      <c r="U10" s="4">
        <v>29.700000000000028</v>
      </c>
      <c r="V10" s="4">
        <v>39.451923076923066</v>
      </c>
      <c r="W10" s="4">
        <v>39.451923076923066</v>
      </c>
      <c r="X10" s="4">
        <v>39.451923076923066</v>
      </c>
      <c r="Y10" s="5">
        <f t="shared" si="0"/>
        <v>57.950187848372707</v>
      </c>
      <c r="Z10" s="4">
        <v>395</v>
      </c>
    </row>
    <row r="11" spans="2:26" x14ac:dyDescent="0.45">
      <c r="B11" s="1" t="s">
        <v>32</v>
      </c>
      <c r="C11" s="4">
        <v>8.285714285714281E-2</v>
      </c>
      <c r="D11" s="4">
        <v>8.6428571428571424E-2</v>
      </c>
      <c r="E11" s="4">
        <v>8.4047619047619024E-2</v>
      </c>
      <c r="F11" s="4">
        <v>5693.5714285714284</v>
      </c>
      <c r="G11" s="4">
        <v>6142.8571428571431</v>
      </c>
      <c r="H11" s="4">
        <v>5955.4761904761908</v>
      </c>
      <c r="I11" s="4">
        <v>17793.095238095237</v>
      </c>
      <c r="J11" s="4">
        <v>419.1807142857142</v>
      </c>
      <c r="K11" s="4">
        <v>45.48857142857144</v>
      </c>
      <c r="L11" s="4">
        <v>19070.785714285714</v>
      </c>
      <c r="M11" s="4">
        <v>250.4047619047619</v>
      </c>
      <c r="N11" s="4">
        <v>398.80976190476167</v>
      </c>
      <c r="O11" s="4">
        <v>10457.619047619048</v>
      </c>
      <c r="P11" s="4">
        <v>93.303095238095182</v>
      </c>
      <c r="Q11" s="4">
        <v>107.22452380952377</v>
      </c>
      <c r="R11" s="4">
        <v>58.800714285714307</v>
      </c>
      <c r="S11" s="4">
        <v>170.13523809523818</v>
      </c>
      <c r="T11" s="4">
        <v>35.640476190476193</v>
      </c>
      <c r="U11" s="4">
        <v>29.700000000000024</v>
      </c>
      <c r="V11" s="4">
        <v>39.700000000000031</v>
      </c>
      <c r="W11" s="4">
        <v>39.700000000000031</v>
      </c>
      <c r="X11" s="4">
        <v>39.700000000000031</v>
      </c>
      <c r="Y11" s="5">
        <f t="shared" si="0"/>
        <v>54.862886450680264</v>
      </c>
      <c r="Z11" s="4">
        <v>395</v>
      </c>
    </row>
    <row r="12" spans="2:26" x14ac:dyDescent="0.45">
      <c r="B12" s="1" t="s">
        <v>33</v>
      </c>
      <c r="C12" s="4">
        <v>8.99999999999999E-2</v>
      </c>
      <c r="D12" s="4">
        <v>8.99999999999999E-2</v>
      </c>
      <c r="E12" s="4">
        <v>8.99999999999999E-2</v>
      </c>
      <c r="F12" s="4">
        <v>471.02030456852793</v>
      </c>
      <c r="G12" s="4">
        <v>491.51269035532994</v>
      </c>
      <c r="H12" s="4">
        <v>498.03553299492387</v>
      </c>
      <c r="I12" s="4">
        <v>1460.3705583756346</v>
      </c>
      <c r="J12" s="4">
        <v>419.11197969543099</v>
      </c>
      <c r="K12" s="4">
        <v>3.6022335025380792</v>
      </c>
      <c r="L12" s="4">
        <v>1509.3096446700508</v>
      </c>
      <c r="M12" s="4">
        <v>500.79695431472084</v>
      </c>
      <c r="N12" s="4">
        <v>24.834416243654818</v>
      </c>
      <c r="O12" s="4">
        <v>1302.030456852792</v>
      </c>
      <c r="P12" s="4">
        <v>96.76522842639605</v>
      </c>
      <c r="Q12" s="4">
        <v>103.34538071066</v>
      </c>
      <c r="R12" s="4">
        <v>89.181015228426418</v>
      </c>
      <c r="S12" s="4">
        <v>112.14472081218273</v>
      </c>
      <c r="T12" s="4">
        <v>36.118781725888404</v>
      </c>
      <c r="U12" s="4">
        <v>31.399999999999917</v>
      </c>
      <c r="V12" s="4">
        <v>39.707614213197871</v>
      </c>
      <c r="W12" s="4">
        <v>39.707614213197871</v>
      </c>
      <c r="X12" s="4">
        <v>39.707614213197871</v>
      </c>
      <c r="Y12" s="5">
        <f t="shared" si="0"/>
        <v>86.296213098765875</v>
      </c>
      <c r="Z12" s="4">
        <v>395</v>
      </c>
    </row>
    <row r="13" spans="2:26" x14ac:dyDescent="0.45">
      <c r="B13" s="1" t="s">
        <v>34</v>
      </c>
      <c r="C13" s="4">
        <v>9.9124087591240653E-2</v>
      </c>
      <c r="D13" s="4">
        <v>9.8905109489050874E-2</v>
      </c>
      <c r="E13" s="4">
        <v>9.9999999999999756E-2</v>
      </c>
      <c r="F13" s="4">
        <v>963.62043795620434</v>
      </c>
      <c r="G13" s="4">
        <v>988.00729927007296</v>
      </c>
      <c r="H13" s="4">
        <v>975.09489051094886</v>
      </c>
      <c r="I13" s="4">
        <v>2926.6058394160582</v>
      </c>
      <c r="J13" s="4">
        <v>419.13189781021936</v>
      </c>
      <c r="K13" s="4">
        <v>7.2232846715328565</v>
      </c>
      <c r="L13" s="4">
        <v>3026.8613138686133</v>
      </c>
      <c r="M13" s="4">
        <v>500.56204379562041</v>
      </c>
      <c r="N13" s="4">
        <v>50.468321167883239</v>
      </c>
      <c r="O13" s="4">
        <v>2644.2335766423357</v>
      </c>
      <c r="P13" s="4">
        <v>96.692262773722646</v>
      </c>
      <c r="Q13" s="4">
        <v>103.42350364963512</v>
      </c>
      <c r="R13" s="4">
        <v>90.390802919708079</v>
      </c>
      <c r="S13" s="4">
        <v>110.63394160583944</v>
      </c>
      <c r="T13" s="4">
        <v>36.097810218978097</v>
      </c>
      <c r="U13" s="4">
        <v>31.400000000000041</v>
      </c>
      <c r="V13" s="4">
        <v>39.800000000000104</v>
      </c>
      <c r="W13" s="4">
        <v>39.800000000000104</v>
      </c>
      <c r="X13" s="4">
        <v>39.800000000000104</v>
      </c>
      <c r="Y13" s="5">
        <f t="shared" si="0"/>
        <v>87.400912682401909</v>
      </c>
      <c r="Z13" s="4">
        <v>395</v>
      </c>
    </row>
    <row r="14" spans="2:26" x14ac:dyDescent="0.45">
      <c r="B14" s="1" t="s">
        <v>35</v>
      </c>
      <c r="C14" s="4">
        <v>0.10513043478260857</v>
      </c>
      <c r="D14" s="4">
        <v>0.1064347826086955</v>
      </c>
      <c r="E14" s="4">
        <v>0.10504347826086938</v>
      </c>
      <c r="F14" s="4">
        <v>1977.608695652174</v>
      </c>
      <c r="G14" s="4">
        <v>2005.2086956521739</v>
      </c>
      <c r="H14" s="4">
        <v>1971.1478260869565</v>
      </c>
      <c r="I14" s="4">
        <v>5953.9826086956518</v>
      </c>
      <c r="J14" s="4">
        <v>419.1641739130435</v>
      </c>
      <c r="K14" s="4">
        <v>14.76808695652174</v>
      </c>
      <c r="L14" s="4">
        <v>6190.1478260869562</v>
      </c>
      <c r="M14" s="4">
        <v>500.66956521739132</v>
      </c>
      <c r="N14" s="4">
        <v>101.11347826086956</v>
      </c>
      <c r="O14" s="4">
        <v>5301.130434782609</v>
      </c>
      <c r="P14" s="4">
        <v>96.183999999999969</v>
      </c>
      <c r="Q14" s="4">
        <v>103.96817391304349</v>
      </c>
      <c r="R14" s="4">
        <v>89.038086956521639</v>
      </c>
      <c r="S14" s="4">
        <v>112.31626086956521</v>
      </c>
      <c r="T14" s="4">
        <v>36.122608695652104</v>
      </c>
      <c r="U14" s="4">
        <v>31.400000000000059</v>
      </c>
      <c r="V14" s="4">
        <v>39.900000000000013</v>
      </c>
      <c r="W14" s="4">
        <v>39.900000000000013</v>
      </c>
      <c r="X14" s="4">
        <v>39.900000000000013</v>
      </c>
      <c r="Y14" s="5">
        <f t="shared" si="0"/>
        <v>85.640393558260755</v>
      </c>
      <c r="Z14" s="4">
        <v>395</v>
      </c>
    </row>
    <row r="15" spans="2:26" x14ac:dyDescent="0.45">
      <c r="B15" s="1" t="s">
        <v>36</v>
      </c>
      <c r="C15" s="4">
        <v>0.10999999999999985</v>
      </c>
      <c r="D15" s="4">
        <v>0.10999999999999985</v>
      </c>
      <c r="E15" s="4">
        <v>0.10999999999999985</v>
      </c>
      <c r="F15" s="4">
        <v>3035.9274193548385</v>
      </c>
      <c r="G15" s="4">
        <v>3088.2741935483873</v>
      </c>
      <c r="H15" s="4">
        <v>3008.5080645161293</v>
      </c>
      <c r="I15" s="4">
        <v>9132.572580645161</v>
      </c>
      <c r="J15" s="4">
        <v>419.12314516129049</v>
      </c>
      <c r="K15" s="4">
        <v>22.785806451612903</v>
      </c>
      <c r="L15" s="4">
        <v>9550.3870967741932</v>
      </c>
      <c r="M15" s="4">
        <v>501.41935483870969</v>
      </c>
      <c r="N15" s="4">
        <v>151.44225806451618</v>
      </c>
      <c r="O15" s="4">
        <v>7951.6935483870966</v>
      </c>
      <c r="P15" s="4">
        <v>95.6265322580646</v>
      </c>
      <c r="Q15" s="4">
        <v>104.57395161290324</v>
      </c>
      <c r="R15" s="4">
        <v>87.084435483870976</v>
      </c>
      <c r="S15" s="4">
        <v>114.84548387096783</v>
      </c>
      <c r="T15" s="4">
        <v>36.137903225806411</v>
      </c>
      <c r="U15" s="4">
        <v>31.400000000000063</v>
      </c>
      <c r="V15" s="4">
        <v>39.988709677419358</v>
      </c>
      <c r="W15" s="4">
        <v>39.988709677419358</v>
      </c>
      <c r="X15" s="4">
        <v>39.988709677419358</v>
      </c>
      <c r="Y15" s="5">
        <f t="shared" si="0"/>
        <v>83.27582578973734</v>
      </c>
      <c r="Z15" s="4">
        <v>395</v>
      </c>
    </row>
    <row r="16" spans="2:26" x14ac:dyDescent="0.45">
      <c r="B16" s="1" t="s">
        <v>37</v>
      </c>
      <c r="C16" s="4">
        <v>0.11999999999999966</v>
      </c>
      <c r="D16" s="4">
        <v>0.11999999999999966</v>
      </c>
      <c r="E16" s="4">
        <v>0.11999999999999966</v>
      </c>
      <c r="F16" s="4">
        <v>4143.2611940298511</v>
      </c>
      <c r="G16" s="4">
        <v>4210.9179104477616</v>
      </c>
      <c r="H16" s="4">
        <v>4105.2164179104475</v>
      </c>
      <c r="I16" s="4">
        <v>12459.39552238806</v>
      </c>
      <c r="J16" s="4">
        <v>419.12485074626846</v>
      </c>
      <c r="K16" s="4">
        <v>31.215522388059711</v>
      </c>
      <c r="L16" s="4">
        <v>13083.537313432837</v>
      </c>
      <c r="M16" s="4">
        <v>502.26119402985074</v>
      </c>
      <c r="N16" s="4">
        <v>202.12141791044755</v>
      </c>
      <c r="O16" s="4">
        <v>10628.656716417911</v>
      </c>
      <c r="P16" s="4">
        <v>95.231044776119418</v>
      </c>
      <c r="Q16" s="4">
        <v>105.0087313432837</v>
      </c>
      <c r="R16" s="4">
        <v>85.312388059701561</v>
      </c>
      <c r="S16" s="4">
        <v>117.22186567164169</v>
      </c>
      <c r="T16" s="4">
        <v>36.13955223880594</v>
      </c>
      <c r="U16" s="4">
        <v>31.4022388059702</v>
      </c>
      <c r="V16" s="4">
        <v>40.076865671641833</v>
      </c>
      <c r="W16" s="4">
        <v>40.076865671641833</v>
      </c>
      <c r="X16" s="4">
        <v>40.076865671641833</v>
      </c>
      <c r="Y16" s="5">
        <f t="shared" si="0"/>
        <v>81.243878472711145</v>
      </c>
      <c r="Z16" s="4">
        <v>395</v>
      </c>
    </row>
    <row r="17" spans="2:26" x14ac:dyDescent="0.45">
      <c r="B17" s="1" t="s">
        <v>38</v>
      </c>
      <c r="C17" s="4">
        <v>0.11999999999999976</v>
      </c>
      <c r="D17" s="4">
        <v>0.11999999999999976</v>
      </c>
      <c r="E17" s="4">
        <v>0.11999999999999976</v>
      </c>
      <c r="F17" s="4">
        <v>5293.6422018348621</v>
      </c>
      <c r="G17" s="4">
        <v>5393.1284403669724</v>
      </c>
      <c r="H17" s="4">
        <v>5255.7522935779816</v>
      </c>
      <c r="I17" s="4">
        <v>15942.504587155963</v>
      </c>
      <c r="J17" s="4">
        <v>419.16403669724787</v>
      </c>
      <c r="K17" s="4">
        <v>40.124403669724742</v>
      </c>
      <c r="L17" s="4">
        <v>16820.788990825688</v>
      </c>
      <c r="M17" s="4">
        <v>501.35779816513764</v>
      </c>
      <c r="N17" s="4">
        <v>251.76146788990835</v>
      </c>
      <c r="O17" s="4">
        <v>13215.779816513761</v>
      </c>
      <c r="P17" s="4">
        <v>94.778073394495337</v>
      </c>
      <c r="Q17" s="4">
        <v>105.50981651376149</v>
      </c>
      <c r="R17" s="4">
        <v>82.903853211009235</v>
      </c>
      <c r="S17" s="4">
        <v>120.62366972477069</v>
      </c>
      <c r="T17" s="4">
        <v>36.139449541284328</v>
      </c>
      <c r="U17" s="4">
        <v>31.401834862385378</v>
      </c>
      <c r="V17" s="4">
        <v>40.208256880733892</v>
      </c>
      <c r="W17" s="4">
        <v>40.208256880733892</v>
      </c>
      <c r="X17" s="4">
        <v>40.208256880733892</v>
      </c>
      <c r="Y17" s="5">
        <f t="shared" si="0"/>
        <v>78.574674843195012</v>
      </c>
      <c r="Z17" s="4">
        <v>395</v>
      </c>
    </row>
    <row r="18" spans="2:26" x14ac:dyDescent="0.45">
      <c r="B18" s="1" t="s">
        <v>39</v>
      </c>
      <c r="C18" s="4">
        <v>0.12174757281553383</v>
      </c>
      <c r="D18" s="4">
        <v>0.13000000000000025</v>
      </c>
      <c r="E18" s="4">
        <v>0.12368932038834948</v>
      </c>
      <c r="F18" s="4">
        <v>6546.6019417475727</v>
      </c>
      <c r="G18" s="4">
        <v>6660.2912621359219</v>
      </c>
      <c r="H18" s="4">
        <v>6489.8058252427181</v>
      </c>
      <c r="I18" s="4">
        <v>19697.087378640776</v>
      </c>
      <c r="J18" s="4">
        <v>419.13271844660193</v>
      </c>
      <c r="K18" s="4">
        <v>49.785631067961155</v>
      </c>
      <c r="L18" s="4">
        <v>20869.728155339806</v>
      </c>
      <c r="M18" s="4">
        <v>500.61165048543688</v>
      </c>
      <c r="N18" s="4">
        <v>302.45631067961159</v>
      </c>
      <c r="O18" s="4">
        <v>15857.961165048544</v>
      </c>
      <c r="P18" s="4">
        <v>94.376796116504906</v>
      </c>
      <c r="Q18" s="4">
        <v>105.9571844660194</v>
      </c>
      <c r="R18" s="4">
        <v>80.511359223301028</v>
      </c>
      <c r="S18" s="4">
        <v>124.20689320388347</v>
      </c>
      <c r="T18" s="4">
        <v>36.139805825242661</v>
      </c>
      <c r="U18" s="4">
        <v>31.4058252427185</v>
      </c>
      <c r="V18" s="4">
        <v>40.397087378640826</v>
      </c>
      <c r="W18" s="4">
        <v>40.397087378640826</v>
      </c>
      <c r="X18" s="4">
        <v>40.397087378640826</v>
      </c>
      <c r="Y18" s="5">
        <f t="shared" si="0"/>
        <v>75.984041344801682</v>
      </c>
      <c r="Z18" s="4">
        <v>395</v>
      </c>
    </row>
    <row r="19" spans="2:26" x14ac:dyDescent="0.45">
      <c r="B19" s="1" t="s">
        <v>40</v>
      </c>
      <c r="C19" s="4">
        <v>0.13000000000000028</v>
      </c>
      <c r="D19" s="4">
        <v>0.13000000000000028</v>
      </c>
      <c r="E19" s="4">
        <v>0.13000000000000028</v>
      </c>
      <c r="F19" s="4">
        <v>7913.1132075471696</v>
      </c>
      <c r="G19" s="4">
        <v>8046.4150943396226</v>
      </c>
      <c r="H19" s="4">
        <v>7839.0566037735853</v>
      </c>
      <c r="I19" s="4">
        <v>23795.566037735851</v>
      </c>
      <c r="J19" s="4">
        <v>419.14066037735853</v>
      </c>
      <c r="K19" s="4">
        <v>60.456792452830236</v>
      </c>
      <c r="L19" s="4">
        <v>25342.188679245282</v>
      </c>
      <c r="M19" s="4">
        <v>501.00943396226415</v>
      </c>
      <c r="N19" s="4">
        <v>352.68726415094397</v>
      </c>
      <c r="O19" s="4">
        <v>18501.603773584906</v>
      </c>
      <c r="P19" s="4">
        <v>93.900849056603846</v>
      </c>
      <c r="Q19" s="4">
        <v>106.49735849056611</v>
      </c>
      <c r="R19" s="4">
        <v>77.756509433962293</v>
      </c>
      <c r="S19" s="4">
        <v>128.61764150943401</v>
      </c>
      <c r="T19" s="4">
        <v>36.141509433962206</v>
      </c>
      <c r="U19" s="4">
        <v>31.5</v>
      </c>
      <c r="V19" s="4">
        <v>40.671698113207476</v>
      </c>
      <c r="W19" s="4">
        <v>40.671698113207476</v>
      </c>
      <c r="X19" s="4">
        <v>40.671698113207476</v>
      </c>
      <c r="Y19" s="5">
        <f t="shared" si="0"/>
        <v>73.014022555268866</v>
      </c>
      <c r="Z19" s="4">
        <v>395</v>
      </c>
    </row>
    <row r="20" spans="2:26" x14ac:dyDescent="0.45">
      <c r="B20" s="1" t="s">
        <v>41</v>
      </c>
      <c r="C20" s="4">
        <v>0.13000000000000025</v>
      </c>
      <c r="D20" s="4">
        <v>0.13000000000000025</v>
      </c>
      <c r="E20" s="4">
        <v>0.10999999999999995</v>
      </c>
      <c r="F20" s="4">
        <v>9209.1089108910892</v>
      </c>
      <c r="G20" s="4">
        <v>9373.5643564356433</v>
      </c>
      <c r="H20" s="4">
        <v>8888.3168316831689</v>
      </c>
      <c r="I20" s="4">
        <v>27472.673267326732</v>
      </c>
      <c r="J20" s="4">
        <v>419.08396039603969</v>
      </c>
      <c r="K20" s="4">
        <v>70.789306930693115</v>
      </c>
      <c r="L20" s="4">
        <v>29668.138613861385</v>
      </c>
      <c r="M20" s="4">
        <v>501.14851485148517</v>
      </c>
      <c r="N20" s="4">
        <v>398.01871287128705</v>
      </c>
      <c r="O20" s="4">
        <v>20888.316831683169</v>
      </c>
      <c r="P20" s="4">
        <v>92.598019801980229</v>
      </c>
      <c r="Q20" s="4">
        <v>107.99386138613865</v>
      </c>
      <c r="R20" s="4">
        <v>76.034059405940553</v>
      </c>
      <c r="S20" s="4">
        <v>131.52089108910886</v>
      </c>
      <c r="T20" s="4">
        <v>36.152475247524691</v>
      </c>
      <c r="U20" s="4">
        <v>31.5</v>
      </c>
      <c r="V20" s="4">
        <v>40.970297029702976</v>
      </c>
      <c r="W20" s="4">
        <v>40.970297029702976</v>
      </c>
      <c r="X20" s="4">
        <v>40.970297029702976</v>
      </c>
      <c r="Y20" s="5">
        <f t="shared" si="0"/>
        <v>70.406033384962242</v>
      </c>
      <c r="Z20" s="4">
        <v>395</v>
      </c>
    </row>
    <row r="21" spans="2:26" x14ac:dyDescent="0.45">
      <c r="B21" s="1" t="s">
        <v>42</v>
      </c>
      <c r="C21" s="4">
        <v>0.17000000000000073</v>
      </c>
      <c r="D21" s="4">
        <v>0.17000000000000073</v>
      </c>
      <c r="E21" s="4">
        <v>0.17000000000000073</v>
      </c>
      <c r="F21" s="4">
        <v>921.34302325581393</v>
      </c>
      <c r="G21" s="4">
        <v>933.64534883720933</v>
      </c>
      <c r="H21" s="4">
        <v>930.19186046511629</v>
      </c>
      <c r="I21" s="4">
        <v>2784.9883720930234</v>
      </c>
      <c r="J21" s="4">
        <v>419.09436046511627</v>
      </c>
      <c r="K21" s="4">
        <v>6.7605813953488356</v>
      </c>
      <c r="L21" s="4">
        <v>2833.0058139534885</v>
      </c>
      <c r="M21" s="4">
        <v>1000.1511627906976</v>
      </c>
      <c r="N21" s="4">
        <v>24.545290697674396</v>
      </c>
      <c r="O21" s="4">
        <v>2570.7558139534885</v>
      </c>
      <c r="P21" s="4">
        <v>98.306337209302214</v>
      </c>
      <c r="Q21" s="4">
        <v>101.72366279069773</v>
      </c>
      <c r="R21" s="4">
        <v>92.307034883721016</v>
      </c>
      <c r="S21" s="4">
        <v>108.34883720930226</v>
      </c>
      <c r="T21" s="4">
        <v>36.336627906976787</v>
      </c>
      <c r="U21" s="4">
        <v>31.699999999999896</v>
      </c>
      <c r="V21" s="4">
        <v>40.724999999999973</v>
      </c>
      <c r="W21" s="4">
        <v>40.724999999999973</v>
      </c>
      <c r="X21" s="4">
        <v>40.724999999999973</v>
      </c>
      <c r="Y21" s="5">
        <f t="shared" si="0"/>
        <v>90.743664980699009</v>
      </c>
      <c r="Z21" s="4">
        <v>395</v>
      </c>
    </row>
    <row r="22" spans="2:26" x14ac:dyDescent="0.45">
      <c r="B22" s="1" t="s">
        <v>43</v>
      </c>
      <c r="C22" s="4">
        <v>0.1799999999999998</v>
      </c>
      <c r="D22" s="4">
        <v>0.1799999999999998</v>
      </c>
      <c r="E22" s="4">
        <v>0.1799999999999998</v>
      </c>
      <c r="F22" s="4">
        <v>1862.4102564102564</v>
      </c>
      <c r="G22" s="4">
        <v>1891.2136752136753</v>
      </c>
      <c r="H22" s="4">
        <v>1859.051282051282</v>
      </c>
      <c r="I22" s="4">
        <v>5612.7435897435898</v>
      </c>
      <c r="J22" s="4">
        <v>419.14820512820478</v>
      </c>
      <c r="K22" s="4">
        <v>13.628547008546978</v>
      </c>
      <c r="L22" s="4">
        <v>5711.8205128205127</v>
      </c>
      <c r="M22" s="4">
        <v>999.82905982905982</v>
      </c>
      <c r="N22" s="4">
        <v>50.163333333333377</v>
      </c>
      <c r="O22" s="4">
        <v>5252.136752136752</v>
      </c>
      <c r="P22" s="4">
        <v>98.266324786324759</v>
      </c>
      <c r="Q22" s="4">
        <v>101.76495726495737</v>
      </c>
      <c r="R22" s="4">
        <v>93.578034188034195</v>
      </c>
      <c r="S22" s="4">
        <v>106.86666666666665</v>
      </c>
      <c r="T22" s="4">
        <v>36.336752136752203</v>
      </c>
      <c r="U22" s="4">
        <v>31.699999999999935</v>
      </c>
      <c r="V22" s="4">
        <v>40.80000000000009</v>
      </c>
      <c r="W22" s="4">
        <v>40.80000000000009</v>
      </c>
      <c r="X22" s="4">
        <v>40.80000000000009</v>
      </c>
      <c r="Y22" s="5">
        <f t="shared" si="0"/>
        <v>91.955695003871696</v>
      </c>
      <c r="Z22" s="4">
        <v>395</v>
      </c>
    </row>
    <row r="23" spans="2:26" x14ac:dyDescent="0.45">
      <c r="B23" s="1" t="s">
        <v>44</v>
      </c>
      <c r="C23" s="4">
        <v>0.1900000000000002</v>
      </c>
      <c r="D23" s="4">
        <v>0.19247787610619491</v>
      </c>
      <c r="E23" s="4">
        <v>0.19044247787610641</v>
      </c>
      <c r="F23" s="4">
        <v>3758.0973451327432</v>
      </c>
      <c r="G23" s="4">
        <v>3819.716814159292</v>
      </c>
      <c r="H23" s="4">
        <v>3727.9026548672568</v>
      </c>
      <c r="I23" s="4">
        <v>11305.557522123894</v>
      </c>
      <c r="J23" s="4">
        <v>419.12353982300834</v>
      </c>
      <c r="K23" s="4">
        <v>27.549292035398235</v>
      </c>
      <c r="L23" s="4">
        <v>11546.805309734513</v>
      </c>
      <c r="M23" s="4">
        <v>1000.3451327433628</v>
      </c>
      <c r="N23" s="4">
        <v>100.66486725663718</v>
      </c>
      <c r="O23" s="4">
        <v>10545.840707964602</v>
      </c>
      <c r="P23" s="4">
        <v>97.911150442477862</v>
      </c>
      <c r="Q23" s="4">
        <v>102.13150442477868</v>
      </c>
      <c r="R23" s="4">
        <v>93.284955752212312</v>
      </c>
      <c r="S23" s="4">
        <v>107.20044247787607</v>
      </c>
      <c r="T23" s="4">
        <v>36.334513274336338</v>
      </c>
      <c r="U23" s="4">
        <v>31.699999999999939</v>
      </c>
      <c r="V23" s="4">
        <v>40.800000000000082</v>
      </c>
      <c r="W23" s="4">
        <v>40.800000000000082</v>
      </c>
      <c r="X23" s="4">
        <v>40.800000000000082</v>
      </c>
      <c r="Y23" s="5">
        <f t="shared" si="0"/>
        <v>91.336373366747509</v>
      </c>
      <c r="Z23" s="4">
        <v>395</v>
      </c>
    </row>
    <row r="24" spans="2:26" x14ac:dyDescent="0.45">
      <c r="B24" s="1" t="s">
        <v>45</v>
      </c>
      <c r="C24" s="4">
        <v>0.19999999999999973</v>
      </c>
      <c r="D24" s="4">
        <v>0.20243243243243247</v>
      </c>
      <c r="E24" s="4">
        <v>0.19999999999999973</v>
      </c>
      <c r="F24" s="4">
        <v>5700.1486486486483</v>
      </c>
      <c r="G24" s="4">
        <v>5787.1081081081084</v>
      </c>
      <c r="H24" s="4">
        <v>5653.2972972972975</v>
      </c>
      <c r="I24" s="4">
        <v>17140.5</v>
      </c>
      <c r="J24" s="4">
        <v>419.14810810810792</v>
      </c>
      <c r="K24" s="4">
        <v>41.882297297297285</v>
      </c>
      <c r="L24" s="4">
        <v>17555.162162162163</v>
      </c>
      <c r="M24" s="4">
        <v>1001</v>
      </c>
      <c r="N24" s="4">
        <v>150.94256756756769</v>
      </c>
      <c r="O24" s="4">
        <v>15821.891891891892</v>
      </c>
      <c r="P24" s="4">
        <v>97.640270270270236</v>
      </c>
      <c r="Q24" s="4">
        <v>102.41891891891886</v>
      </c>
      <c r="R24" s="4">
        <v>92.308783783783795</v>
      </c>
      <c r="S24" s="4">
        <v>108.33472972972963</v>
      </c>
      <c r="T24" s="4">
        <v>36.33918918918922</v>
      </c>
      <c r="U24" s="4">
        <v>31.701351351351352</v>
      </c>
      <c r="V24" s="4">
        <v>40.800000000000033</v>
      </c>
      <c r="W24" s="4">
        <v>40.800000000000033</v>
      </c>
      <c r="X24" s="4">
        <v>40.800000000000033</v>
      </c>
      <c r="Y24" s="5">
        <f t="shared" si="0"/>
        <v>90.130545969685883</v>
      </c>
      <c r="Z24" s="4">
        <v>395</v>
      </c>
    </row>
    <row r="25" spans="2:26" x14ac:dyDescent="0.45">
      <c r="B25" s="1" t="s">
        <v>46</v>
      </c>
      <c r="C25" s="4">
        <v>0.21000000000000058</v>
      </c>
      <c r="D25" s="4">
        <v>0.21000000000000058</v>
      </c>
      <c r="E25" s="4">
        <v>0.21000000000000058</v>
      </c>
      <c r="F25" s="4">
        <v>7693.2686567164183</v>
      </c>
      <c r="G25" s="4">
        <v>7799.9626865671644</v>
      </c>
      <c r="H25" s="4">
        <v>7629.0223880597014</v>
      </c>
      <c r="I25" s="4">
        <v>23122.223880597016</v>
      </c>
      <c r="J25" s="4">
        <v>419.13611940298506</v>
      </c>
      <c r="K25" s="4">
        <v>56.67559701492543</v>
      </c>
      <c r="L25" s="4">
        <v>23755.880597014926</v>
      </c>
      <c r="M25" s="4">
        <v>1000.9253731343283</v>
      </c>
      <c r="N25" s="4">
        <v>201.3928358208955</v>
      </c>
      <c r="O25" s="4">
        <v>21108.805970149253</v>
      </c>
      <c r="P25" s="4">
        <v>97.330447761194037</v>
      </c>
      <c r="Q25" s="4">
        <v>102.74171641791047</v>
      </c>
      <c r="R25" s="4">
        <v>91.2911940298508</v>
      </c>
      <c r="S25" s="4">
        <v>109.53858208955214</v>
      </c>
      <c r="T25" s="4">
        <v>36.339552238806029</v>
      </c>
      <c r="U25" s="4">
        <v>31.799253731343359</v>
      </c>
      <c r="V25" s="4">
        <v>40.899999999999956</v>
      </c>
      <c r="W25" s="4">
        <v>40.899999999999956</v>
      </c>
      <c r="X25" s="4">
        <v>40.899999999999956</v>
      </c>
      <c r="Y25" s="5">
        <f t="shared" si="0"/>
        <v>88.854127915794223</v>
      </c>
      <c r="Z25" s="4">
        <v>395</v>
      </c>
    </row>
    <row r="26" spans="2:26" x14ac:dyDescent="0.45">
      <c r="B26" s="1" t="s">
        <v>47</v>
      </c>
      <c r="C26" s="4">
        <v>0.21000000000000049</v>
      </c>
      <c r="D26" s="4">
        <v>0.21895833333333348</v>
      </c>
      <c r="E26" s="4">
        <v>0.21114583333333373</v>
      </c>
      <c r="F26" s="4">
        <v>9730.9166666666661</v>
      </c>
      <c r="G26" s="4">
        <v>9877.6458333333339</v>
      </c>
      <c r="H26" s="4">
        <v>9627.1145833333339</v>
      </c>
      <c r="I26" s="4">
        <v>29235.5625</v>
      </c>
      <c r="J26" s="4">
        <v>419.07875000000018</v>
      </c>
      <c r="K26" s="4">
        <v>71.884687500000098</v>
      </c>
      <c r="L26" s="4">
        <v>30126.90625</v>
      </c>
      <c r="M26" s="4">
        <v>1000.8125</v>
      </c>
      <c r="N26" s="4">
        <v>251.21302083333356</v>
      </c>
      <c r="O26" s="4">
        <v>26329.6875</v>
      </c>
      <c r="P26" s="4">
        <v>97.041354166666693</v>
      </c>
      <c r="Q26" s="4">
        <v>103.04927083333331</v>
      </c>
      <c r="R26" s="4">
        <v>90.060416666666683</v>
      </c>
      <c r="S26" s="4">
        <v>111.03614583333341</v>
      </c>
      <c r="T26" s="4">
        <v>36.342708333333384</v>
      </c>
      <c r="U26" s="4">
        <v>31.80000000000004</v>
      </c>
      <c r="V26" s="4">
        <v>40.988541666666663</v>
      </c>
      <c r="W26" s="4">
        <v>40.988541666666663</v>
      </c>
      <c r="X26" s="4">
        <v>40.988541666666663</v>
      </c>
      <c r="Y26" s="5">
        <f t="shared" si="0"/>
        <v>87.395847901475733</v>
      </c>
      <c r="Z26" s="4">
        <v>395</v>
      </c>
    </row>
    <row r="27" spans="2:26" x14ac:dyDescent="0.45">
      <c r="B27" s="1" t="s">
        <v>48</v>
      </c>
      <c r="C27" s="4">
        <v>0.22000000000000008</v>
      </c>
      <c r="D27" s="4">
        <v>0.22000000000000008</v>
      </c>
      <c r="E27" s="4">
        <v>0.22000000000000008</v>
      </c>
      <c r="F27" s="4">
        <v>11876.071428571429</v>
      </c>
      <c r="G27" s="4">
        <v>12041.547619047618</v>
      </c>
      <c r="H27" s="4">
        <v>11750.238095238095</v>
      </c>
      <c r="I27" s="4">
        <v>35667.261904761908</v>
      </c>
      <c r="J27" s="4">
        <v>418.95738095238056</v>
      </c>
      <c r="K27" s="4">
        <v>87.959642857142768</v>
      </c>
      <c r="L27" s="4">
        <v>36852.857142857145</v>
      </c>
      <c r="M27" s="4">
        <v>1000.4166666666666</v>
      </c>
      <c r="N27" s="4">
        <v>301.81535714285712</v>
      </c>
      <c r="O27" s="4">
        <v>31617.5</v>
      </c>
      <c r="P27" s="4">
        <v>96.783809523809595</v>
      </c>
      <c r="Q27" s="4">
        <v>103.3232142857143</v>
      </c>
      <c r="R27" s="4">
        <v>88.642857142857125</v>
      </c>
      <c r="S27" s="4">
        <v>112.81190476190461</v>
      </c>
      <c r="T27" s="4">
        <v>36.340476190476238</v>
      </c>
      <c r="U27" s="4">
        <v>31.800000000000018</v>
      </c>
      <c r="V27" s="4">
        <v>41.135714285714194</v>
      </c>
      <c r="W27" s="4">
        <v>41.135714285714194</v>
      </c>
      <c r="X27" s="4">
        <v>41.135714285714194</v>
      </c>
      <c r="Y27" s="5">
        <f t="shared" si="0"/>
        <v>85.791934013605498</v>
      </c>
      <c r="Z27" s="4">
        <v>395</v>
      </c>
    </row>
    <row r="28" spans="2:26" x14ac:dyDescent="0.45">
      <c r="B28" s="1" t="s">
        <v>49</v>
      </c>
      <c r="C28" s="4">
        <v>0.21999999999999978</v>
      </c>
      <c r="D28" s="4">
        <v>0.21999999999999978</v>
      </c>
      <c r="E28" s="4">
        <v>0.21999999999999978</v>
      </c>
      <c r="F28" s="4">
        <v>14111.315789473685</v>
      </c>
      <c r="G28" s="4">
        <v>14294.298245614034</v>
      </c>
      <c r="H28" s="4">
        <v>13963.596491228071</v>
      </c>
      <c r="I28" s="4">
        <v>42369.385964912282</v>
      </c>
      <c r="J28" s="4">
        <v>418.90263157894771</v>
      </c>
      <c r="K28" s="4">
        <v>104.82421052631601</v>
      </c>
      <c r="L28" s="4">
        <v>43911.666666666664</v>
      </c>
      <c r="M28" s="4">
        <v>1000.8245614035088</v>
      </c>
      <c r="N28" s="4">
        <v>351.62350877192989</v>
      </c>
      <c r="O28" s="4">
        <v>36851.052631578947</v>
      </c>
      <c r="P28" s="4">
        <v>96.486929824561358</v>
      </c>
      <c r="Q28" s="4">
        <v>103.64175438596484</v>
      </c>
      <c r="R28" s="4">
        <v>86.974912280701744</v>
      </c>
      <c r="S28" s="4">
        <v>114.97578947368417</v>
      </c>
      <c r="T28" s="4">
        <v>36.340350877193046</v>
      </c>
      <c r="U28" s="4">
        <v>31.800000000000061</v>
      </c>
      <c r="V28" s="4">
        <v>41.339473684210525</v>
      </c>
      <c r="W28" s="4">
        <v>41.339473684210525</v>
      </c>
      <c r="X28" s="4">
        <v>41.339473684210525</v>
      </c>
      <c r="Y28" s="5">
        <f t="shared" si="0"/>
        <v>83.91942257725448</v>
      </c>
      <c r="Z28" s="4">
        <v>395</v>
      </c>
    </row>
    <row r="29" spans="2:26" x14ac:dyDescent="0.45">
      <c r="B29" s="1" t="s">
        <v>50</v>
      </c>
      <c r="C29" s="4">
        <v>0.21999999999999972</v>
      </c>
      <c r="D29" s="4">
        <v>0.21999999999999972</v>
      </c>
      <c r="E29" s="4">
        <v>0.21999999999999972</v>
      </c>
      <c r="F29" s="4">
        <v>16256.016949152543</v>
      </c>
      <c r="G29" s="4">
        <v>16448.050847457627</v>
      </c>
      <c r="H29" s="4">
        <v>16060.593220338984</v>
      </c>
      <c r="I29" s="4">
        <v>48764.745762711864</v>
      </c>
      <c r="J29" s="4">
        <v>418.85635593220343</v>
      </c>
      <c r="K29" s="4">
        <v>121.05669491525423</v>
      </c>
      <c r="L29" s="4">
        <v>50702.033898305082</v>
      </c>
      <c r="M29" s="4">
        <v>1000.8389830508474</v>
      </c>
      <c r="N29" s="4">
        <v>397.07127118644036</v>
      </c>
      <c r="O29" s="4">
        <v>41617.881355932201</v>
      </c>
      <c r="P29" s="4">
        <v>96.180932203389787</v>
      </c>
      <c r="Q29" s="4">
        <v>103.97059322033908</v>
      </c>
      <c r="R29" s="4">
        <v>85.34305084745759</v>
      </c>
      <c r="S29" s="4">
        <v>117.17457627118637</v>
      </c>
      <c r="T29" s="4">
        <v>36.338135593220407</v>
      </c>
      <c r="U29" s="4">
        <v>31.800000000000065</v>
      </c>
      <c r="V29" s="4">
        <v>41.657627118644001</v>
      </c>
      <c r="W29" s="4">
        <v>41.657627118644001</v>
      </c>
      <c r="X29" s="4">
        <v>41.657627118644001</v>
      </c>
      <c r="Y29" s="5">
        <f t="shared" si="0"/>
        <v>82.083741875897644</v>
      </c>
      <c r="Z29" s="4">
        <v>395</v>
      </c>
    </row>
    <row r="30" spans="2:26" x14ac:dyDescent="0.45">
      <c r="B30" s="1" t="s">
        <v>51</v>
      </c>
      <c r="C30" s="4">
        <v>0.23999999999999955</v>
      </c>
      <c r="D30" s="4">
        <v>0.24114285714285685</v>
      </c>
      <c r="E30" s="4">
        <v>0.23999999999999955</v>
      </c>
      <c r="F30" s="4">
        <v>1357.9238095238095</v>
      </c>
      <c r="G30" s="4">
        <v>1386.2190476190476</v>
      </c>
      <c r="H30" s="4">
        <v>1365.3809523809523</v>
      </c>
      <c r="I30" s="4">
        <v>4109.4952380952382</v>
      </c>
      <c r="J30" s="4">
        <v>419.10180952380938</v>
      </c>
      <c r="K30" s="4">
        <v>9.926476190476178</v>
      </c>
      <c r="L30" s="4">
        <v>4160.0571428571429</v>
      </c>
      <c r="M30" s="4">
        <v>1499.4952380952382</v>
      </c>
      <c r="N30" s="4">
        <v>24.435142857142836</v>
      </c>
      <c r="O30" s="4">
        <v>3836.6666666666665</v>
      </c>
      <c r="P30" s="4">
        <v>98.785238095238185</v>
      </c>
      <c r="Q30" s="4">
        <v>101.22895238095235</v>
      </c>
      <c r="R30" s="4">
        <v>93.370666666666651</v>
      </c>
      <c r="S30" s="4">
        <v>107.10152380952384</v>
      </c>
      <c r="T30" s="4">
        <v>36.536190476190455</v>
      </c>
      <c r="U30" s="4">
        <v>32.199999999999946</v>
      </c>
      <c r="V30" s="4">
        <v>41.078095238095209</v>
      </c>
      <c r="W30" s="4">
        <v>41.078095238095209</v>
      </c>
      <c r="X30" s="4">
        <v>41.078095238095209</v>
      </c>
      <c r="Y30" s="5">
        <f t="shared" si="0"/>
        <v>92.236435377777852</v>
      </c>
      <c r="Z30" s="4">
        <v>395</v>
      </c>
    </row>
    <row r="31" spans="2:26" x14ac:dyDescent="0.45">
      <c r="B31" s="1" t="s">
        <v>52</v>
      </c>
      <c r="C31" s="4">
        <v>0.26000000000000023</v>
      </c>
      <c r="D31" s="4">
        <v>0.26000000000000023</v>
      </c>
      <c r="E31" s="4">
        <v>0.26000000000000023</v>
      </c>
      <c r="F31" s="4">
        <v>2754.8734177215188</v>
      </c>
      <c r="G31" s="4">
        <v>2793.9367088607596</v>
      </c>
      <c r="H31" s="4">
        <v>2743.4556962025317</v>
      </c>
      <c r="I31" s="4">
        <v>8292.3797468354423</v>
      </c>
      <c r="J31" s="4">
        <v>419.17544303797462</v>
      </c>
      <c r="K31" s="4">
        <v>20.025189873417705</v>
      </c>
      <c r="L31" s="4">
        <v>8394.164556962025</v>
      </c>
      <c r="M31" s="4">
        <v>1498.9620253164558</v>
      </c>
      <c r="N31" s="4">
        <v>50.035569620253185</v>
      </c>
      <c r="O31" s="4">
        <v>7854.9367088607596</v>
      </c>
      <c r="P31" s="4">
        <v>98.787341772151876</v>
      </c>
      <c r="Q31" s="4">
        <v>101.22810126582276</v>
      </c>
      <c r="R31" s="4">
        <v>94.710126582278548</v>
      </c>
      <c r="S31" s="4">
        <v>105.58291139240515</v>
      </c>
      <c r="T31" s="4">
        <v>36.553164556962003</v>
      </c>
      <c r="U31" s="4">
        <v>32.199999999999989</v>
      </c>
      <c r="V31" s="4">
        <v>41.099999999999945</v>
      </c>
      <c r="W31" s="4">
        <v>41.099999999999945</v>
      </c>
      <c r="X31" s="4">
        <v>41.099999999999945</v>
      </c>
      <c r="Y31" s="5">
        <f t="shared" si="0"/>
        <v>93.561616439673188</v>
      </c>
      <c r="Z31" s="4">
        <v>395</v>
      </c>
    </row>
    <row r="32" spans="2:26" x14ac:dyDescent="0.45">
      <c r="B32" s="1" t="s">
        <v>53</v>
      </c>
      <c r="C32" s="4">
        <v>0.27999999999999997</v>
      </c>
      <c r="D32" s="4">
        <v>0.27999999999999997</v>
      </c>
      <c r="E32" s="4">
        <v>0.27999999999999997</v>
      </c>
      <c r="F32" s="4">
        <v>5549.338235294118</v>
      </c>
      <c r="G32" s="4">
        <v>5621.0735294117649</v>
      </c>
      <c r="H32" s="4">
        <v>5490.5147058823532</v>
      </c>
      <c r="I32" s="4">
        <v>16661.102941176472</v>
      </c>
      <c r="J32" s="4">
        <v>419.12323529411799</v>
      </c>
      <c r="K32" s="4">
        <v>40.331470588235284</v>
      </c>
      <c r="L32" s="4">
        <v>16904.220588235294</v>
      </c>
      <c r="M32" s="4">
        <v>1499.6617647058824</v>
      </c>
      <c r="N32" s="4">
        <v>100.57073529411767</v>
      </c>
      <c r="O32" s="4">
        <v>15793.382352941177</v>
      </c>
      <c r="P32" s="4">
        <v>98.562058823529455</v>
      </c>
      <c r="Q32" s="4">
        <v>101.45955882352938</v>
      </c>
      <c r="R32" s="4">
        <v>94.798088235294117</v>
      </c>
      <c r="S32" s="4">
        <v>105.48882352941182</v>
      </c>
      <c r="T32" s="4">
        <v>36.547058823529397</v>
      </c>
      <c r="U32" s="4">
        <v>32.200000000000017</v>
      </c>
      <c r="V32" s="4">
        <v>41.099999999999952</v>
      </c>
      <c r="W32" s="4">
        <v>41.099999999999952</v>
      </c>
      <c r="X32" s="4">
        <v>41.099999999999952</v>
      </c>
      <c r="Y32" s="5">
        <f t="shared" si="0"/>
        <v>93.434947490051954</v>
      </c>
      <c r="Z32" s="4">
        <v>395</v>
      </c>
    </row>
    <row r="33" spans="2:26" x14ac:dyDescent="0.45">
      <c r="B33" s="1" t="s">
        <v>54</v>
      </c>
      <c r="C33" s="4">
        <v>0.28999999999999937</v>
      </c>
      <c r="D33" s="4">
        <v>0.28999999999999937</v>
      </c>
      <c r="E33" s="4">
        <v>0.28999999999999937</v>
      </c>
      <c r="F33" s="4">
        <v>8377.0895522388055</v>
      </c>
      <c r="G33" s="4">
        <v>8479.3283582089553</v>
      </c>
      <c r="H33" s="4">
        <v>8280.746268656716</v>
      </c>
      <c r="I33" s="4">
        <v>25136.567164179105</v>
      </c>
      <c r="J33" s="4">
        <v>419.14529850746231</v>
      </c>
      <c r="K33" s="4">
        <v>60.972388059701494</v>
      </c>
      <c r="L33" s="4">
        <v>25557.104477611942</v>
      </c>
      <c r="M33" s="4">
        <v>1500.141791044776</v>
      </c>
      <c r="N33" s="4">
        <v>150.70119402985074</v>
      </c>
      <c r="O33" s="4">
        <v>23673.656716417911</v>
      </c>
      <c r="P33" s="4">
        <v>98.355970149253835</v>
      </c>
      <c r="Q33" s="4">
        <v>101.67000000000006</v>
      </c>
      <c r="R33" s="4">
        <v>94.177462686567083</v>
      </c>
      <c r="S33" s="4">
        <v>106.18201492537305</v>
      </c>
      <c r="T33" s="4">
        <v>36.540298507462687</v>
      </c>
      <c r="U33" s="4">
        <v>32.206716417910386</v>
      </c>
      <c r="V33" s="4">
        <v>41.15820895522377</v>
      </c>
      <c r="W33" s="4">
        <v>41.15820895522377</v>
      </c>
      <c r="X33" s="4">
        <v>41.15820895522377</v>
      </c>
      <c r="Y33" s="5">
        <f t="shared" si="0"/>
        <v>92.629157087324586</v>
      </c>
      <c r="Z33" s="4">
        <v>395</v>
      </c>
    </row>
    <row r="34" spans="2:26" x14ac:dyDescent="0.45">
      <c r="B34" s="1" t="s">
        <v>55</v>
      </c>
      <c r="C34" s="4">
        <v>0.29940677966101703</v>
      </c>
      <c r="D34" s="4">
        <v>0.30000000000000016</v>
      </c>
      <c r="E34" s="4">
        <v>0.29923728813559336</v>
      </c>
      <c r="F34" s="4">
        <v>11266.864406779661</v>
      </c>
      <c r="G34" s="4">
        <v>11391.949152542373</v>
      </c>
      <c r="H34" s="4">
        <v>11128.305084745763</v>
      </c>
      <c r="I34" s="4">
        <v>33788.220338983054</v>
      </c>
      <c r="J34" s="4">
        <v>419.03737288135568</v>
      </c>
      <c r="K34" s="4">
        <v>82.137457627118579</v>
      </c>
      <c r="L34" s="4">
        <v>34419.91525423729</v>
      </c>
      <c r="M34" s="4">
        <v>1500.5677966101696</v>
      </c>
      <c r="N34" s="4">
        <v>200.96627118644093</v>
      </c>
      <c r="O34" s="4">
        <v>31577.288135593219</v>
      </c>
      <c r="P34" s="4">
        <v>98.16110169491516</v>
      </c>
      <c r="Q34" s="4">
        <v>101.87355932203384</v>
      </c>
      <c r="R34" s="4">
        <v>93.460762711864334</v>
      </c>
      <c r="S34" s="4">
        <v>106.99796610169487</v>
      </c>
      <c r="T34" s="4">
        <v>36.543220338983033</v>
      </c>
      <c r="U34" s="4">
        <v>32.28983050847463</v>
      </c>
      <c r="V34" s="4">
        <v>41.210169491525363</v>
      </c>
      <c r="W34" s="4">
        <v>41.210169491525363</v>
      </c>
      <c r="X34" s="4">
        <v>41.210169491525363</v>
      </c>
      <c r="Y34" s="5">
        <f t="shared" si="0"/>
        <v>91.742114330436493</v>
      </c>
      <c r="Z34" s="4">
        <v>395</v>
      </c>
    </row>
    <row r="35" spans="2:26" x14ac:dyDescent="0.45">
      <c r="B35" s="1" t="s">
        <v>56</v>
      </c>
      <c r="C35" s="4">
        <v>0.30000000000000027</v>
      </c>
      <c r="D35" s="4">
        <v>0.30000000000000027</v>
      </c>
      <c r="E35" s="4">
        <v>0.30000000000000027</v>
      </c>
      <c r="F35" s="4">
        <v>14187.017543859649</v>
      </c>
      <c r="G35" s="4">
        <v>14351.491228070176</v>
      </c>
      <c r="H35" s="4">
        <v>14005.350877192983</v>
      </c>
      <c r="I35" s="4">
        <v>42542.280701754389</v>
      </c>
      <c r="J35" s="4">
        <v>418.88508771929844</v>
      </c>
      <c r="K35" s="4">
        <v>103.65473684210524</v>
      </c>
      <c r="L35" s="4">
        <v>43421.491228070176</v>
      </c>
      <c r="M35" s="4">
        <v>1499.780701754386</v>
      </c>
      <c r="N35" s="4">
        <v>251.00078947368399</v>
      </c>
      <c r="O35" s="4">
        <v>39425.350877192985</v>
      </c>
      <c r="P35" s="4">
        <v>97.975614035087773</v>
      </c>
      <c r="Q35" s="4">
        <v>102.065350877193</v>
      </c>
      <c r="R35" s="4">
        <v>92.668947368421072</v>
      </c>
      <c r="S35" s="4">
        <v>107.9120175438596</v>
      </c>
      <c r="T35" s="4">
        <v>36.544736842105245</v>
      </c>
      <c r="U35" s="4">
        <v>32.279824561403522</v>
      </c>
      <c r="V35" s="4">
        <v>41.319298245614092</v>
      </c>
      <c r="W35" s="4">
        <v>41.319298245614092</v>
      </c>
      <c r="X35" s="4">
        <v>41.319298245614092</v>
      </c>
      <c r="Y35" s="5">
        <f t="shared" si="0"/>
        <v>90.792970204062854</v>
      </c>
      <c r="Z35" s="4">
        <v>395</v>
      </c>
    </row>
    <row r="36" spans="2:26" x14ac:dyDescent="0.45">
      <c r="B36" s="1" t="s">
        <v>57</v>
      </c>
      <c r="C36" s="4">
        <v>0.29999999999999932</v>
      </c>
      <c r="D36" s="4">
        <v>0.30184049079754527</v>
      </c>
      <c r="E36" s="4">
        <v>0.29999999999999932</v>
      </c>
      <c r="F36" s="4">
        <v>17226.687116564419</v>
      </c>
      <c r="G36" s="4">
        <v>17421.533742331289</v>
      </c>
      <c r="H36" s="4">
        <v>17008.098159509202</v>
      </c>
      <c r="I36" s="4">
        <v>51656.319018404909</v>
      </c>
      <c r="J36" s="4">
        <v>418.90380368098192</v>
      </c>
      <c r="K36" s="4">
        <v>126.14447852760721</v>
      </c>
      <c r="L36" s="4">
        <v>52844.11042944785</v>
      </c>
      <c r="M36" s="4">
        <v>1500.8466257668711</v>
      </c>
      <c r="N36" s="4">
        <v>301.48601226993839</v>
      </c>
      <c r="O36" s="4">
        <v>47382.515337423312</v>
      </c>
      <c r="P36" s="4">
        <v>97.75208588957058</v>
      </c>
      <c r="Q36" s="4">
        <v>102.30055214723927</v>
      </c>
      <c r="R36" s="4">
        <v>91.728343558282219</v>
      </c>
      <c r="S36" s="4">
        <v>109.01791411042946</v>
      </c>
      <c r="T36" s="4">
        <v>36.54969325153376</v>
      </c>
      <c r="U36" s="4">
        <v>32.282822085889606</v>
      </c>
      <c r="V36" s="4">
        <v>41.524539877300725</v>
      </c>
      <c r="W36" s="4">
        <v>41.524539877300725</v>
      </c>
      <c r="X36" s="4">
        <v>41.524539877300725</v>
      </c>
      <c r="Y36" s="5">
        <f t="shared" si="0"/>
        <v>89.666369180172424</v>
      </c>
      <c r="Z36" s="4">
        <v>395</v>
      </c>
    </row>
    <row r="37" spans="2:26" x14ac:dyDescent="0.45">
      <c r="B37" s="1" t="s">
        <v>58</v>
      </c>
      <c r="C37" s="4">
        <v>0.30000000000000038</v>
      </c>
      <c r="D37" s="4">
        <v>0.30891891891891854</v>
      </c>
      <c r="E37" s="4">
        <v>0.30000000000000038</v>
      </c>
      <c r="F37" s="4">
        <v>20331.08108108108</v>
      </c>
      <c r="G37" s="4">
        <v>20566.576576576575</v>
      </c>
      <c r="H37" s="4">
        <v>20063.783783783783</v>
      </c>
      <c r="I37" s="4">
        <v>60961.981981981982</v>
      </c>
      <c r="J37" s="4">
        <v>418.84522522522542</v>
      </c>
      <c r="K37" s="4">
        <v>149.25378378378397</v>
      </c>
      <c r="L37" s="4">
        <v>62515.315315315318</v>
      </c>
      <c r="M37" s="4">
        <v>1500.7207207207207</v>
      </c>
      <c r="N37" s="4">
        <v>351.14099099099099</v>
      </c>
      <c r="O37" s="4">
        <v>55179.819819819822</v>
      </c>
      <c r="P37" s="4">
        <v>97.515315315315348</v>
      </c>
      <c r="Q37" s="4">
        <v>102.54639639639636</v>
      </c>
      <c r="R37" s="4">
        <v>90.516756756756834</v>
      </c>
      <c r="S37" s="4">
        <v>110.47828828828817</v>
      </c>
      <c r="T37" s="4">
        <v>36.55045045045042</v>
      </c>
      <c r="U37" s="4">
        <v>32.279279279279287</v>
      </c>
      <c r="V37" s="4">
        <v>41.77207207207217</v>
      </c>
      <c r="W37" s="4">
        <v>41.77207207207217</v>
      </c>
      <c r="X37" s="4">
        <v>41.77207207207217</v>
      </c>
      <c r="Y37" s="5">
        <f t="shared" si="0"/>
        <v>88.267700764548451</v>
      </c>
      <c r="Z37" s="4">
        <v>395</v>
      </c>
    </row>
    <row r="38" spans="2:26" x14ac:dyDescent="0.45">
      <c r="B38" s="1" t="s">
        <v>59</v>
      </c>
      <c r="C38" s="4">
        <v>0.30000000000000049</v>
      </c>
      <c r="D38" s="4">
        <v>0.3004000000000005</v>
      </c>
      <c r="E38" s="4">
        <v>0.30000000000000049</v>
      </c>
      <c r="F38" s="4">
        <v>23263.4</v>
      </c>
      <c r="G38" s="4">
        <v>23493.9</v>
      </c>
      <c r="H38" s="4">
        <v>22968.5</v>
      </c>
      <c r="I38" s="4">
        <v>69725.600000000006</v>
      </c>
      <c r="J38" s="4">
        <v>418.75779999999992</v>
      </c>
      <c r="K38" s="4">
        <v>171.16779999999994</v>
      </c>
      <c r="L38" s="4">
        <v>71677.600000000006</v>
      </c>
      <c r="M38" s="4">
        <v>1500.25</v>
      </c>
      <c r="N38" s="4">
        <v>396.24629999999991</v>
      </c>
      <c r="O38" s="4">
        <v>62250.400000000001</v>
      </c>
      <c r="P38" s="4">
        <v>97.277300000000025</v>
      </c>
      <c r="Q38" s="4">
        <v>102.80020000000007</v>
      </c>
      <c r="R38" s="4">
        <v>89.279899999999927</v>
      </c>
      <c r="S38" s="4">
        <v>112.00899999999994</v>
      </c>
      <c r="T38" s="4">
        <v>36.564999999999962</v>
      </c>
      <c r="U38" s="4">
        <v>32.295000000000044</v>
      </c>
      <c r="V38" s="4">
        <v>42.113999999999905</v>
      </c>
      <c r="W38" s="4">
        <v>42.113999999999905</v>
      </c>
      <c r="X38" s="4">
        <v>42.113999999999905</v>
      </c>
      <c r="Y38" s="5">
        <f t="shared" si="0"/>
        <v>86.849076162699944</v>
      </c>
      <c r="Z38" s="4">
        <v>395</v>
      </c>
    </row>
    <row r="39" spans="2:26" x14ac:dyDescent="0.45">
      <c r="B39" s="1" t="s">
        <v>60</v>
      </c>
      <c r="C39" s="4">
        <v>0.30999999999999961</v>
      </c>
      <c r="D39" s="4">
        <v>0.31156626506024065</v>
      </c>
      <c r="E39" s="4">
        <v>0.31493975903614457</v>
      </c>
      <c r="F39" s="4">
        <v>1795.7469879518073</v>
      </c>
      <c r="G39" s="4">
        <v>1841.2530120481927</v>
      </c>
      <c r="H39" s="4">
        <v>1801.0120481927711</v>
      </c>
      <c r="I39" s="4">
        <v>5437.939759036145</v>
      </c>
      <c r="J39" s="4">
        <v>419.11722891566234</v>
      </c>
      <c r="K39" s="4">
        <v>13.099036144578314</v>
      </c>
      <c r="L39" s="4">
        <v>5489.7469879518076</v>
      </c>
      <c r="M39" s="4">
        <v>1999.2891566265059</v>
      </c>
      <c r="N39" s="4">
        <v>24.193132530120511</v>
      </c>
      <c r="O39" s="4">
        <v>5063.9759036144578</v>
      </c>
      <c r="P39" s="4">
        <v>99.058674698795102</v>
      </c>
      <c r="Q39" s="4">
        <v>100.95132530120488</v>
      </c>
      <c r="R39" s="4">
        <v>93.147108433734999</v>
      </c>
      <c r="S39" s="4">
        <v>107.35843373493982</v>
      </c>
      <c r="T39" s="4">
        <v>36.822891566265099</v>
      </c>
      <c r="U39" s="4">
        <v>32.632530120481881</v>
      </c>
      <c r="V39" s="4">
        <v>41.350602409638618</v>
      </c>
      <c r="W39" s="4">
        <v>41.350602409638618</v>
      </c>
      <c r="X39" s="4">
        <v>41.350602409638618</v>
      </c>
      <c r="Y39" s="5">
        <f t="shared" si="0"/>
        <v>92.270291134707492</v>
      </c>
      <c r="Z39" s="4">
        <v>395</v>
      </c>
    </row>
    <row r="40" spans="2:26" x14ac:dyDescent="0.45">
      <c r="B40" s="1" t="s">
        <v>61</v>
      </c>
      <c r="C40" s="4">
        <v>0.32999999999999918</v>
      </c>
      <c r="D40" s="4">
        <v>0.32999999999999918</v>
      </c>
      <c r="E40" s="4">
        <v>0.32999999999999918</v>
      </c>
      <c r="F40" s="4">
        <v>3648.0306122448978</v>
      </c>
      <c r="G40" s="4">
        <v>3705.0102040816328</v>
      </c>
      <c r="H40" s="4">
        <v>3617.5714285714284</v>
      </c>
      <c r="I40" s="4">
        <v>10970.795918367347</v>
      </c>
      <c r="J40" s="4">
        <v>419.17081632653088</v>
      </c>
      <c r="K40" s="4">
        <v>26.426020408163282</v>
      </c>
      <c r="L40" s="4">
        <v>11076.510204081633</v>
      </c>
      <c r="M40" s="4">
        <v>1999.1530612244899</v>
      </c>
      <c r="N40" s="4">
        <v>49.876122448979629</v>
      </c>
      <c r="O40" s="4">
        <v>10441.326530612245</v>
      </c>
      <c r="P40" s="4">
        <v>99.046632653061124</v>
      </c>
      <c r="Q40" s="4">
        <v>100.96295918367348</v>
      </c>
      <c r="R40" s="4">
        <v>95.173163265306158</v>
      </c>
      <c r="S40" s="4">
        <v>105.07173469387763</v>
      </c>
      <c r="T40" s="4">
        <v>36.829591836734757</v>
      </c>
      <c r="U40" s="4">
        <v>32.699999999999953</v>
      </c>
      <c r="V40" s="4">
        <v>41.300000000000075</v>
      </c>
      <c r="W40" s="4">
        <v>41.300000000000075</v>
      </c>
      <c r="X40" s="4">
        <v>41.300000000000075</v>
      </c>
      <c r="Y40" s="5">
        <f t="shared" si="0"/>
        <v>94.265813403685897</v>
      </c>
      <c r="Z40" s="4">
        <v>395</v>
      </c>
    </row>
    <row r="41" spans="2:26" x14ac:dyDescent="0.45">
      <c r="B41" s="1" t="s">
        <v>62</v>
      </c>
      <c r="C41" s="4">
        <v>0.35000000000000059</v>
      </c>
      <c r="D41" s="4">
        <v>0.35999999999999965</v>
      </c>
      <c r="E41" s="4">
        <v>0.3510752688172048</v>
      </c>
      <c r="F41" s="4">
        <v>7353.2688172043008</v>
      </c>
      <c r="G41" s="4">
        <v>7416.4516129032254</v>
      </c>
      <c r="H41" s="4">
        <v>7240.5161290322585</v>
      </c>
      <c r="I41" s="4">
        <v>22010.15053763441</v>
      </c>
      <c r="J41" s="4">
        <v>419.13956989247299</v>
      </c>
      <c r="K41" s="4">
        <v>53.077204301075263</v>
      </c>
      <c r="L41" s="4">
        <v>22247.107526881722</v>
      </c>
      <c r="M41" s="4">
        <v>2000.010752688172</v>
      </c>
      <c r="N41" s="4">
        <v>100.42505376344084</v>
      </c>
      <c r="O41" s="4">
        <v>21030.322580645163</v>
      </c>
      <c r="P41" s="4">
        <v>98.934731182795645</v>
      </c>
      <c r="Q41" s="4">
        <v>101.07634408602155</v>
      </c>
      <c r="R41" s="4">
        <v>95.55526881720435</v>
      </c>
      <c r="S41" s="4">
        <v>104.65236559139791</v>
      </c>
      <c r="T41" s="4">
        <v>36.806451612903281</v>
      </c>
      <c r="U41" s="4">
        <v>32.69999999999996</v>
      </c>
      <c r="V41" s="4">
        <v>41.300000000000068</v>
      </c>
      <c r="W41" s="4">
        <v>41.300000000000068</v>
      </c>
      <c r="X41" s="4">
        <v>41.300000000000068</v>
      </c>
      <c r="Y41" s="5">
        <f t="shared" si="0"/>
        <v>94.537348335298887</v>
      </c>
      <c r="Z41" s="4">
        <v>395</v>
      </c>
    </row>
    <row r="42" spans="2:26" x14ac:dyDescent="0.45">
      <c r="B42" s="1" t="s">
        <v>63</v>
      </c>
      <c r="C42" s="4">
        <v>0.36999999999999961</v>
      </c>
      <c r="D42" s="4">
        <v>0.36999999999999961</v>
      </c>
      <c r="E42" s="4">
        <v>0.36999999999999961</v>
      </c>
      <c r="F42" s="4">
        <v>11075.217391304348</v>
      </c>
      <c r="G42" s="4">
        <v>11163.391304347826</v>
      </c>
      <c r="H42" s="4">
        <v>10892.695652173914</v>
      </c>
      <c r="I42" s="4">
        <v>33131.043478260872</v>
      </c>
      <c r="J42" s="4">
        <v>419.07260869565209</v>
      </c>
      <c r="K42" s="4">
        <v>80.041739130434792</v>
      </c>
      <c r="L42" s="4">
        <v>33544.156521739133</v>
      </c>
      <c r="M42" s="4">
        <v>2000.1652173913044</v>
      </c>
      <c r="N42" s="4">
        <v>150.49452173913031</v>
      </c>
      <c r="O42" s="4">
        <v>31521.043478260868</v>
      </c>
      <c r="P42" s="4">
        <v>98.767304347826197</v>
      </c>
      <c r="Q42" s="4">
        <v>101.24904347826097</v>
      </c>
      <c r="R42" s="4">
        <v>95.1443478260869</v>
      </c>
      <c r="S42" s="4">
        <v>105.10504347826098</v>
      </c>
      <c r="T42" s="4">
        <v>36.83304347826094</v>
      </c>
      <c r="U42" s="4">
        <v>32.734782608695646</v>
      </c>
      <c r="V42" s="4">
        <v>41.279130434782623</v>
      </c>
      <c r="W42" s="4">
        <v>41.279130434782623</v>
      </c>
      <c r="X42" s="4">
        <v>41.279130434782623</v>
      </c>
      <c r="Y42" s="5">
        <f t="shared" si="0"/>
        <v>93.971507587145609</v>
      </c>
      <c r="Z42" s="4">
        <v>395</v>
      </c>
    </row>
    <row r="43" spans="2:26" x14ac:dyDescent="0.45">
      <c r="B43" s="1" t="s">
        <v>64</v>
      </c>
      <c r="C43" s="4">
        <v>0.3794623655913979</v>
      </c>
      <c r="D43" s="4">
        <v>0.37999999999999995</v>
      </c>
      <c r="E43" s="4">
        <v>0.37999999999999995</v>
      </c>
      <c r="F43" s="4">
        <v>14854.623655913978</v>
      </c>
      <c r="G43" s="4">
        <v>14966.344086021505</v>
      </c>
      <c r="H43" s="4">
        <v>14600.645161290322</v>
      </c>
      <c r="I43" s="4">
        <v>44422.795698924732</v>
      </c>
      <c r="J43" s="4">
        <v>418.87419354838715</v>
      </c>
      <c r="K43" s="4">
        <v>107.57215053763429</v>
      </c>
      <c r="L43" s="4">
        <v>45059.784946236556</v>
      </c>
      <c r="M43" s="4">
        <v>2001.2903225806451</v>
      </c>
      <c r="N43" s="4">
        <v>200.7593548387097</v>
      </c>
      <c r="O43" s="4">
        <v>42072.580645161288</v>
      </c>
      <c r="P43" s="4">
        <v>98.584838709677427</v>
      </c>
      <c r="Q43" s="4">
        <v>101.43451612903227</v>
      </c>
      <c r="R43" s="4">
        <v>94.711075268817183</v>
      </c>
      <c r="S43" s="4">
        <v>105.58451612903222</v>
      </c>
      <c r="T43" s="4">
        <v>36.830107526881775</v>
      </c>
      <c r="U43" s="4">
        <v>32.760215053763432</v>
      </c>
      <c r="V43" s="4">
        <v>41.300000000000068</v>
      </c>
      <c r="W43" s="4">
        <v>41.300000000000068</v>
      </c>
      <c r="X43" s="4">
        <v>41.300000000000068</v>
      </c>
      <c r="Y43" s="5">
        <f t="shared" si="0"/>
        <v>93.370760793964607</v>
      </c>
      <c r="Z43" s="4">
        <v>395</v>
      </c>
    </row>
    <row r="44" spans="2:26" x14ac:dyDescent="0.45">
      <c r="B44" s="1" t="s"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18662.601626016261</v>
      </c>
      <c r="G44" s="4">
        <v>18790.975609756097</v>
      </c>
      <c r="H44" s="4">
        <v>18341.869918699187</v>
      </c>
      <c r="I44" s="4">
        <v>55794.715447154471</v>
      </c>
      <c r="J44" s="4">
        <v>418.88951219512143</v>
      </c>
      <c r="K44" s="4">
        <v>135.30991869918702</v>
      </c>
      <c r="L44" s="4">
        <v>56680.650406504064</v>
      </c>
      <c r="M44" s="4">
        <v>2000.3739837398373</v>
      </c>
      <c r="N44" s="4">
        <v>250.67780487804893</v>
      </c>
      <c r="O44" s="4">
        <v>52511.300813008129</v>
      </c>
      <c r="P44" s="4">
        <v>98.43804878048779</v>
      </c>
      <c r="Q44" s="4">
        <v>101.5866666666666</v>
      </c>
      <c r="R44" s="4">
        <v>94.113495934959261</v>
      </c>
      <c r="S44" s="4">
        <v>106.25382113821136</v>
      </c>
      <c r="T44" s="4">
        <v>36.839837398374037</v>
      </c>
      <c r="U44" s="4">
        <v>32.800000000000075</v>
      </c>
      <c r="V44" s="4">
        <v>41.330894308943108</v>
      </c>
      <c r="W44" s="4">
        <v>41.330894308943108</v>
      </c>
      <c r="X44" s="4">
        <v>41.330894308943108</v>
      </c>
      <c r="Y44" s="5">
        <f t="shared" si="0"/>
        <v>92.643489037477593</v>
      </c>
      <c r="Z44" s="4">
        <v>395</v>
      </c>
    </row>
    <row r="45" spans="2:26" x14ac:dyDescent="0.45">
      <c r="B45" s="1" t="s">
        <v>66</v>
      </c>
      <c r="C45" s="4">
        <v>0.38000000000000056</v>
      </c>
      <c r="D45" s="4">
        <v>0.38000000000000056</v>
      </c>
      <c r="E45" s="4">
        <v>0.38000000000000056</v>
      </c>
      <c r="F45" s="4">
        <v>22588.916666666668</v>
      </c>
      <c r="G45" s="4">
        <v>22726.833333333332</v>
      </c>
      <c r="H45" s="4">
        <v>22209.333333333332</v>
      </c>
      <c r="I45" s="4">
        <v>67525.416666666672</v>
      </c>
      <c r="J45" s="4">
        <v>418.79991666666712</v>
      </c>
      <c r="K45" s="4">
        <v>164.06091666666669</v>
      </c>
      <c r="L45" s="4">
        <v>68707.583333333328</v>
      </c>
      <c r="M45" s="4">
        <v>2000.6</v>
      </c>
      <c r="N45" s="4">
        <v>301.10566666666688</v>
      </c>
      <c r="O45" s="4">
        <v>63080.916666666664</v>
      </c>
      <c r="P45" s="4">
        <v>98.280000000000058</v>
      </c>
      <c r="Q45" s="4">
        <v>101.7506666666667</v>
      </c>
      <c r="R45" s="4">
        <v>93.417416666666639</v>
      </c>
      <c r="S45" s="4">
        <v>107.04624999999996</v>
      </c>
      <c r="T45" s="4">
        <v>36.838333333333395</v>
      </c>
      <c r="U45" s="4">
        <v>32.800000000000075</v>
      </c>
      <c r="V45" s="4">
        <v>41.473333333333336</v>
      </c>
      <c r="W45" s="4">
        <v>41.473333333333336</v>
      </c>
      <c r="X45" s="4">
        <v>41.473333333333336</v>
      </c>
      <c r="Y45" s="5">
        <f t="shared" si="0"/>
        <v>91.810637100000022</v>
      </c>
      <c r="Z45" s="4">
        <v>395</v>
      </c>
    </row>
    <row r="46" spans="2:26" x14ac:dyDescent="0.45">
      <c r="B46" s="1" t="s">
        <v>67</v>
      </c>
      <c r="C46" s="4">
        <v>0.38000000000000028</v>
      </c>
      <c r="D46" s="4">
        <v>0.38000000000000028</v>
      </c>
      <c r="E46" s="4">
        <v>0.38000000000000028</v>
      </c>
      <c r="F46" s="4">
        <v>26571.904761904763</v>
      </c>
      <c r="G46" s="4">
        <v>26736.952380952382</v>
      </c>
      <c r="H46" s="4">
        <v>26143.523809523809</v>
      </c>
      <c r="I46" s="4">
        <v>79454</v>
      </c>
      <c r="J46" s="4">
        <v>418.67619047619047</v>
      </c>
      <c r="K46" s="4">
        <v>193.50580952380957</v>
      </c>
      <c r="L46" s="4">
        <v>81012.28571428571</v>
      </c>
      <c r="M46" s="4">
        <v>2000.4761904761904</v>
      </c>
      <c r="N46" s="4">
        <v>350.899523809524</v>
      </c>
      <c r="O46" s="4">
        <v>73508.857142857145</v>
      </c>
      <c r="P46" s="4">
        <v>98.075523809523816</v>
      </c>
      <c r="Q46" s="4">
        <v>101.96219047619037</v>
      </c>
      <c r="R46" s="4">
        <v>92.520190476190436</v>
      </c>
      <c r="S46" s="4">
        <v>108.08580952380963</v>
      </c>
      <c r="T46" s="4">
        <v>36.840000000000067</v>
      </c>
      <c r="U46" s="4">
        <v>32.800000000000054</v>
      </c>
      <c r="V46" s="4">
        <v>41.681904761904697</v>
      </c>
      <c r="W46" s="4">
        <v>41.681904761904697</v>
      </c>
      <c r="X46" s="4">
        <v>41.681904761904697</v>
      </c>
      <c r="Y46" s="5">
        <f t="shared" si="0"/>
        <v>90.739661439092941</v>
      </c>
      <c r="Z46" s="4">
        <v>395</v>
      </c>
    </row>
    <row r="47" spans="2:26" x14ac:dyDescent="0.45">
      <c r="B47" s="1" t="s">
        <v>68</v>
      </c>
      <c r="C47" s="4">
        <v>0.38000000000000034</v>
      </c>
      <c r="D47" s="4">
        <v>0.38000000000000034</v>
      </c>
      <c r="E47" s="4">
        <v>0.38000000000000034</v>
      </c>
      <c r="F47" s="4">
        <v>30297.431192660551</v>
      </c>
      <c r="G47" s="4">
        <v>30455.871559633026</v>
      </c>
      <c r="H47" s="4">
        <v>29813.211009174312</v>
      </c>
      <c r="I47" s="4">
        <v>90566.055045871559</v>
      </c>
      <c r="J47" s="4">
        <v>418.59422018348607</v>
      </c>
      <c r="K47" s="4">
        <v>221.13495412844043</v>
      </c>
      <c r="L47" s="4">
        <v>92553.394495412838</v>
      </c>
      <c r="M47" s="4">
        <v>2000.4036697247707</v>
      </c>
      <c r="N47" s="4">
        <v>396.14788990825713</v>
      </c>
      <c r="O47" s="4">
        <v>82991.192660550456</v>
      </c>
      <c r="P47" s="4">
        <v>97.85137614678905</v>
      </c>
      <c r="Q47" s="4">
        <v>102.19642201834871</v>
      </c>
      <c r="R47" s="4">
        <v>91.637247706421988</v>
      </c>
      <c r="S47" s="4">
        <v>109.12761467889916</v>
      </c>
      <c r="T47" s="4">
        <v>36.838532110091812</v>
      </c>
      <c r="U47" s="4">
        <v>32.800000000000061</v>
      </c>
      <c r="V47" s="4">
        <v>41.984403669724813</v>
      </c>
      <c r="W47" s="4">
        <v>41.984403669724813</v>
      </c>
      <c r="X47" s="4">
        <v>41.984403669724813</v>
      </c>
      <c r="Y47" s="5">
        <f t="shared" si="0"/>
        <v>89.668307943775801</v>
      </c>
      <c r="Z47" s="4">
        <v>395</v>
      </c>
    </row>
    <row r="48" spans="2:26" x14ac:dyDescent="0.45">
      <c r="B48" s="1" t="s">
        <v>69</v>
      </c>
      <c r="C48" s="4">
        <v>0.37999999999999989</v>
      </c>
      <c r="D48" s="4">
        <v>0.37999999999999989</v>
      </c>
      <c r="E48" s="4">
        <v>0.37999999999999989</v>
      </c>
      <c r="F48" s="4">
        <v>2243.3076923076924</v>
      </c>
      <c r="G48" s="4">
        <v>2302.8131868131868</v>
      </c>
      <c r="H48" s="4">
        <v>2214.8241758241757</v>
      </c>
      <c r="I48" s="4">
        <v>6760.7362637362639</v>
      </c>
      <c r="J48" s="4">
        <v>419.08648351648338</v>
      </c>
      <c r="K48" s="4">
        <v>16.252747252747252</v>
      </c>
      <c r="L48" s="4">
        <v>6810.5494505494507</v>
      </c>
      <c r="M48" s="4">
        <v>2499.6263736263736</v>
      </c>
      <c r="N48" s="4">
        <v>24.14549450549454</v>
      </c>
      <c r="O48" s="4">
        <v>6319.5604395604396</v>
      </c>
      <c r="P48" s="4">
        <v>99.269670329670404</v>
      </c>
      <c r="Q48" s="4">
        <v>100.73703296703286</v>
      </c>
      <c r="R48" s="4">
        <v>93.47637362637353</v>
      </c>
      <c r="S48" s="4">
        <v>106.97945054945041</v>
      </c>
      <c r="T48" s="4">
        <v>37.042857142857116</v>
      </c>
      <c r="U48" s="4">
        <v>33</v>
      </c>
      <c r="V48" s="4">
        <v>43.099999999999937</v>
      </c>
      <c r="W48" s="4">
        <v>43.099999999999937</v>
      </c>
      <c r="X48" s="4">
        <v>43.099999999999937</v>
      </c>
      <c r="Y48" s="5">
        <f t="shared" si="0"/>
        <v>92.793687935031983</v>
      </c>
      <c r="Z48" s="4">
        <v>395</v>
      </c>
    </row>
    <row r="49" spans="2:26" x14ac:dyDescent="0.45">
      <c r="B49" s="1" t="s">
        <v>70</v>
      </c>
      <c r="C49" s="4">
        <v>0.39999999999999925</v>
      </c>
      <c r="D49" s="4">
        <v>0.39999999999999925</v>
      </c>
      <c r="E49" s="4">
        <v>0.39999999999999925</v>
      </c>
      <c r="F49" s="4">
        <v>4569.6224489795923</v>
      </c>
      <c r="G49" s="4">
        <v>4610.8775510204077</v>
      </c>
      <c r="H49" s="4">
        <v>4471.8469387755104</v>
      </c>
      <c r="I49" s="4">
        <v>13652.448979591836</v>
      </c>
      <c r="J49" s="4">
        <v>419.1686734693875</v>
      </c>
      <c r="K49" s="4">
        <v>32.810918367346922</v>
      </c>
      <c r="L49" s="4">
        <v>13753.163265306122</v>
      </c>
      <c r="M49" s="4">
        <v>2499.3571428571427</v>
      </c>
      <c r="N49" s="4">
        <v>49.784081632653098</v>
      </c>
      <c r="O49" s="4">
        <v>13029.591836734693</v>
      </c>
      <c r="P49" s="4">
        <v>99.268979591836811</v>
      </c>
      <c r="Q49" s="4">
        <v>100.73785714285707</v>
      </c>
      <c r="R49" s="4">
        <v>95.43989795918371</v>
      </c>
      <c r="S49" s="4">
        <v>104.77714285714295</v>
      </c>
      <c r="T49" s="4">
        <v>37.046938775510178</v>
      </c>
      <c r="U49" s="4">
        <v>33</v>
      </c>
      <c r="V49" s="4">
        <v>43.080612244897907</v>
      </c>
      <c r="W49" s="4">
        <v>43.080612244897907</v>
      </c>
      <c r="X49" s="4">
        <v>43.080612244897907</v>
      </c>
      <c r="Y49" s="5">
        <f t="shared" si="0"/>
        <v>94.742212827571947</v>
      </c>
      <c r="Z49" s="4">
        <v>395</v>
      </c>
    </row>
    <row r="50" spans="2:26" x14ac:dyDescent="0.45">
      <c r="B50" s="1" t="s">
        <v>71</v>
      </c>
      <c r="C50" s="4">
        <v>0.42999999999999977</v>
      </c>
      <c r="D50" s="4">
        <v>0.42999999999999977</v>
      </c>
      <c r="E50" s="4">
        <v>0.42999999999999977</v>
      </c>
      <c r="F50" s="4">
        <v>9187.5724137931029</v>
      </c>
      <c r="G50" s="4">
        <v>9192.2000000000007</v>
      </c>
      <c r="H50" s="4">
        <v>8972.4068965517235</v>
      </c>
      <c r="I50" s="4">
        <v>27352.227586206896</v>
      </c>
      <c r="J50" s="4">
        <v>419.13096551724124</v>
      </c>
      <c r="K50" s="4">
        <v>65.843379310344886</v>
      </c>
      <c r="L50" s="4">
        <v>27596.993103448276</v>
      </c>
      <c r="M50" s="4">
        <v>2499.8000000000002</v>
      </c>
      <c r="N50" s="4">
        <v>100.33351724137924</v>
      </c>
      <c r="O50" s="4">
        <v>26265.172413793105</v>
      </c>
      <c r="P50" s="4">
        <v>99.113586206896599</v>
      </c>
      <c r="Q50" s="4">
        <v>100.89531034482748</v>
      </c>
      <c r="R50" s="4">
        <v>96.025793103448194</v>
      </c>
      <c r="S50" s="4">
        <v>104.13882758620689</v>
      </c>
      <c r="T50" s="4">
        <v>37.051034482758631</v>
      </c>
      <c r="U50" s="4">
        <v>33.07862068965516</v>
      </c>
      <c r="V50" s="4">
        <v>43.080000000000076</v>
      </c>
      <c r="W50" s="4">
        <v>43.080000000000076</v>
      </c>
      <c r="X50" s="4">
        <v>43.080000000000076</v>
      </c>
      <c r="Y50" s="5">
        <f t="shared" si="0"/>
        <v>95.174607228442298</v>
      </c>
      <c r="Z50" s="4">
        <v>395</v>
      </c>
    </row>
    <row r="51" spans="2:26" x14ac:dyDescent="0.45">
      <c r="B51" s="1" t="s">
        <v>72</v>
      </c>
      <c r="C51" s="4">
        <v>0.44000000000000022</v>
      </c>
      <c r="D51" s="4">
        <v>0.44939759036144555</v>
      </c>
      <c r="E51" s="4">
        <v>0.44000000000000022</v>
      </c>
      <c r="F51" s="4">
        <v>13828.795180722891</v>
      </c>
      <c r="G51" s="4">
        <v>13801.204819277109</v>
      </c>
      <c r="H51" s="4">
        <v>13505.783132530121</v>
      </c>
      <c r="I51" s="4">
        <v>41135.662650602411</v>
      </c>
      <c r="J51" s="4">
        <v>418.94156626505998</v>
      </c>
      <c r="K51" s="4">
        <v>99.182168674698829</v>
      </c>
      <c r="L51" s="4">
        <v>41551.927710843374</v>
      </c>
      <c r="M51" s="4">
        <v>2499.7228915662649</v>
      </c>
      <c r="N51" s="4">
        <v>150.62072289156626</v>
      </c>
      <c r="O51" s="4">
        <v>39429.638554216865</v>
      </c>
      <c r="P51" s="4">
        <v>98.996867469879533</v>
      </c>
      <c r="Q51" s="4">
        <v>101.01445783132525</v>
      </c>
      <c r="R51" s="4">
        <v>95.854578313253015</v>
      </c>
      <c r="S51" s="4">
        <v>104.32421686746987</v>
      </c>
      <c r="T51" s="4">
        <v>37.051807228915635</v>
      </c>
      <c r="U51" s="4">
        <v>33.025301204819279</v>
      </c>
      <c r="V51" s="4">
        <v>43.077108433734878</v>
      </c>
      <c r="W51" s="4">
        <v>43.077108433734878</v>
      </c>
      <c r="X51" s="4">
        <v>43.077108433734878</v>
      </c>
      <c r="Y51" s="5">
        <f t="shared" si="0"/>
        <v>94.893029856582984</v>
      </c>
      <c r="Z51" s="4">
        <v>395</v>
      </c>
    </row>
    <row r="52" spans="2:26" x14ac:dyDescent="0.45">
      <c r="B52" s="1" t="s">
        <v>73</v>
      </c>
      <c r="C52" s="4">
        <v>0.45000000000000051</v>
      </c>
      <c r="D52" s="4">
        <v>0.45000000000000051</v>
      </c>
      <c r="E52" s="4">
        <v>0.45000000000000051</v>
      </c>
      <c r="F52" s="4">
        <v>18509.903846153848</v>
      </c>
      <c r="G52" s="4">
        <v>18464.807692307691</v>
      </c>
      <c r="H52" s="4">
        <v>18085.673076923078</v>
      </c>
      <c r="I52" s="4">
        <v>55059.326923076922</v>
      </c>
      <c r="J52" s="4">
        <v>418.8991346153847</v>
      </c>
      <c r="K52" s="4">
        <v>132.95875000000004</v>
      </c>
      <c r="L52" s="4">
        <v>55696.730769230766</v>
      </c>
      <c r="M52" s="4">
        <v>2500.0192307692309</v>
      </c>
      <c r="N52" s="4">
        <v>200.85230769230776</v>
      </c>
      <c r="O52" s="4">
        <v>52583.557692307695</v>
      </c>
      <c r="P52" s="4">
        <v>98.855480769230766</v>
      </c>
      <c r="Q52" s="4">
        <v>101.15836538461541</v>
      </c>
      <c r="R52" s="4">
        <v>95.503846153846254</v>
      </c>
      <c r="S52" s="4">
        <v>104.70846153846159</v>
      </c>
      <c r="T52" s="4">
        <v>37.050961538461507</v>
      </c>
      <c r="U52" s="4">
        <v>33.002884615384616</v>
      </c>
      <c r="V52" s="4">
        <v>43.099999999999973</v>
      </c>
      <c r="W52" s="4">
        <v>43.099999999999973</v>
      </c>
      <c r="X52" s="4">
        <v>43.099999999999973</v>
      </c>
      <c r="Y52" s="5">
        <f t="shared" si="0"/>
        <v>94.410786268491236</v>
      </c>
      <c r="Z52" s="4">
        <v>395</v>
      </c>
    </row>
    <row r="53" spans="2:26" x14ac:dyDescent="0.45">
      <c r="B53" s="1" t="s">
        <v>74</v>
      </c>
      <c r="C53" s="4">
        <v>0.45920353982300949</v>
      </c>
      <c r="D53" s="4">
        <v>0.46000000000000074</v>
      </c>
      <c r="E53" s="4">
        <v>0.46000000000000074</v>
      </c>
      <c r="F53" s="4">
        <v>23216.46017699115</v>
      </c>
      <c r="G53" s="4">
        <v>23148.407079646018</v>
      </c>
      <c r="H53" s="4">
        <v>22692.035398230088</v>
      </c>
      <c r="I53" s="4">
        <v>69056.814159292029</v>
      </c>
      <c r="J53" s="4">
        <v>418.79743362831886</v>
      </c>
      <c r="K53" s="4">
        <v>167.02336283185835</v>
      </c>
      <c r="L53" s="4">
        <v>69947.610619469022</v>
      </c>
      <c r="M53" s="4">
        <v>2499.7079646017701</v>
      </c>
      <c r="N53" s="4">
        <v>250.84743362831873</v>
      </c>
      <c r="O53" s="4">
        <v>65665.221238938058</v>
      </c>
      <c r="P53" s="4">
        <v>98.72451327433636</v>
      </c>
      <c r="Q53" s="4">
        <v>101.29026548672567</v>
      </c>
      <c r="R53" s="4">
        <v>95.088938053097422</v>
      </c>
      <c r="S53" s="4">
        <v>105.16407079646012</v>
      </c>
      <c r="T53" s="4">
        <v>37.054867256637145</v>
      </c>
      <c r="U53" s="4">
        <v>33.016814159292025</v>
      </c>
      <c r="V53" s="4">
        <v>43.217699115044219</v>
      </c>
      <c r="W53" s="4">
        <v>43.217699115044219</v>
      </c>
      <c r="X53" s="4">
        <v>43.217699115044219</v>
      </c>
      <c r="Y53" s="5">
        <f t="shared" si="0"/>
        <v>93.876091270655635</v>
      </c>
      <c r="Z53" s="4">
        <v>395</v>
      </c>
    </row>
    <row r="54" spans="2:26" x14ac:dyDescent="0.45">
      <c r="B54" s="1" t="s">
        <v>75</v>
      </c>
      <c r="C54" s="4">
        <v>0.45781250000000084</v>
      </c>
      <c r="D54" s="4">
        <v>0.46000000000000074</v>
      </c>
      <c r="E54" s="4">
        <v>0.46000000000000074</v>
      </c>
      <c r="F54" s="4">
        <v>28057.1875</v>
      </c>
      <c r="G54" s="4">
        <v>27987.5</v>
      </c>
      <c r="H54" s="4">
        <v>27445.46875</v>
      </c>
      <c r="I54" s="4">
        <v>83490.3125</v>
      </c>
      <c r="J54" s="4">
        <v>418.64921874999999</v>
      </c>
      <c r="K54" s="4">
        <v>202.31195312499992</v>
      </c>
      <c r="L54" s="4">
        <v>84690.3125</v>
      </c>
      <c r="M54" s="4">
        <v>2500.390625</v>
      </c>
      <c r="N54" s="4">
        <v>300.91390624999963</v>
      </c>
      <c r="O54" s="4">
        <v>78787.96875</v>
      </c>
      <c r="P54" s="4">
        <v>98.582890624999976</v>
      </c>
      <c r="Q54" s="4">
        <v>101.43789062499992</v>
      </c>
      <c r="R54" s="4">
        <v>94.370078125000106</v>
      </c>
      <c r="S54" s="4">
        <v>105.96562499999999</v>
      </c>
      <c r="T54" s="4">
        <v>37.050000000000004</v>
      </c>
      <c r="U54" s="4">
        <v>33.099999999999952</v>
      </c>
      <c r="V54" s="4">
        <v>43.35468749999999</v>
      </c>
      <c r="W54" s="4">
        <v>43.35468749999999</v>
      </c>
      <c r="X54" s="4">
        <v>43.35468749999999</v>
      </c>
      <c r="Y54" s="5">
        <f t="shared" si="0"/>
        <v>93.032750900695888</v>
      </c>
      <c r="Z54" s="4">
        <v>395</v>
      </c>
    </row>
    <row r="55" spans="2:26" x14ac:dyDescent="0.45">
      <c r="B55" s="1" t="s">
        <v>76</v>
      </c>
      <c r="C55" s="4">
        <v>0.45000000000000118</v>
      </c>
      <c r="D55" s="4">
        <v>0.46000000000000052</v>
      </c>
      <c r="E55" s="4">
        <v>0.46000000000000052</v>
      </c>
      <c r="F55" s="4">
        <v>32947.241379310348</v>
      </c>
      <c r="G55" s="4">
        <v>32870.551724137928</v>
      </c>
      <c r="H55" s="4">
        <v>32258.482758620688</v>
      </c>
      <c r="I55" s="4">
        <v>98075.793103448275</v>
      </c>
      <c r="J55" s="4">
        <v>418.53448275862041</v>
      </c>
      <c r="K55" s="4">
        <v>238.15613793103458</v>
      </c>
      <c r="L55" s="4">
        <v>99662.551724137928</v>
      </c>
      <c r="M55" s="4">
        <v>2500.1448275862067</v>
      </c>
      <c r="N55" s="4">
        <v>350.92931034482785</v>
      </c>
      <c r="O55" s="4">
        <v>91879.172413793101</v>
      </c>
      <c r="P55" s="4">
        <v>98.407448275861967</v>
      </c>
      <c r="Q55" s="4">
        <v>101.61710344827581</v>
      </c>
      <c r="R55" s="4">
        <v>93.679310344827627</v>
      </c>
      <c r="S55" s="4">
        <v>106.74641379310356</v>
      </c>
      <c r="T55" s="4">
        <v>37.05172413793106</v>
      </c>
      <c r="U55" s="4">
        <v>33.1</v>
      </c>
      <c r="V55" s="4">
        <v>43.669655172413663</v>
      </c>
      <c r="W55" s="4">
        <v>43.669655172413663</v>
      </c>
      <c r="X55" s="4">
        <v>43.669655172413663</v>
      </c>
      <c r="Y55" s="5">
        <f t="shared" si="0"/>
        <v>92.187418872770451</v>
      </c>
      <c r="Z55" s="4">
        <v>395</v>
      </c>
    </row>
    <row r="56" spans="2:26" x14ac:dyDescent="0.45">
      <c r="B56" s="1" t="s">
        <v>77</v>
      </c>
      <c r="C56" s="4">
        <v>0.45000000000000095</v>
      </c>
      <c r="D56" s="4">
        <v>0.45000000000000095</v>
      </c>
      <c r="E56" s="4">
        <v>0.45000000000000095</v>
      </c>
      <c r="F56" s="4">
        <v>37493.984375</v>
      </c>
      <c r="G56" s="4">
        <v>37389.453125</v>
      </c>
      <c r="H56" s="4">
        <v>36721.875</v>
      </c>
      <c r="I56" s="4">
        <v>111605.859375</v>
      </c>
      <c r="J56" s="4">
        <v>418.42609375000001</v>
      </c>
      <c r="K56" s="4">
        <v>271.6264843749999</v>
      </c>
      <c r="L56" s="4">
        <v>113624.375</v>
      </c>
      <c r="M56" s="4">
        <v>2500.671875</v>
      </c>
      <c r="N56" s="4">
        <v>395.92460937500033</v>
      </c>
      <c r="O56" s="4">
        <v>103681.171875</v>
      </c>
      <c r="P56" s="4">
        <v>98.222890625000062</v>
      </c>
      <c r="Q56" s="4">
        <v>101.80835937500002</v>
      </c>
      <c r="R56" s="4">
        <v>92.90062499999992</v>
      </c>
      <c r="S56" s="4">
        <v>107.64234375000002</v>
      </c>
      <c r="T56" s="4">
        <v>37.057031249999994</v>
      </c>
      <c r="U56" s="4">
        <v>33.099218749999949</v>
      </c>
      <c r="V56" s="4">
        <v>44.014062500000094</v>
      </c>
      <c r="W56" s="4">
        <v>44.014062500000094</v>
      </c>
      <c r="X56" s="4">
        <v>44.014062500000094</v>
      </c>
      <c r="Y56" s="5">
        <f t="shared" si="0"/>
        <v>91.249679283691393</v>
      </c>
      <c r="Z56" s="4">
        <v>395</v>
      </c>
    </row>
    <row r="57" spans="2:26" x14ac:dyDescent="0.45">
      <c r="B57" s="1" t="s">
        <v>78</v>
      </c>
      <c r="C57" s="4">
        <v>0.4400000000000005</v>
      </c>
      <c r="D57" s="4">
        <v>0.44929577464788684</v>
      </c>
      <c r="E57" s="4">
        <v>0.44394366197183133</v>
      </c>
      <c r="F57" s="4">
        <v>2715.2394366197182</v>
      </c>
      <c r="G57" s="4">
        <v>2734.394366197183</v>
      </c>
      <c r="H57" s="4">
        <v>2623.5211267605632</v>
      </c>
      <c r="I57" s="4">
        <v>8073.3239436619715</v>
      </c>
      <c r="J57" s="4">
        <v>419.11211267605643</v>
      </c>
      <c r="K57" s="4">
        <v>19.37661971830984</v>
      </c>
      <c r="L57" s="4">
        <v>8120.2676056338032</v>
      </c>
      <c r="M57" s="4">
        <v>2998.5633802816901</v>
      </c>
      <c r="N57" s="4">
        <v>24.011126760563378</v>
      </c>
      <c r="O57" s="4">
        <v>7540.422535211268</v>
      </c>
      <c r="P57" s="4">
        <v>99.419295774647864</v>
      </c>
      <c r="Q57" s="4">
        <v>100.58352112676059</v>
      </c>
      <c r="R57" s="4">
        <v>93.391408450704191</v>
      </c>
      <c r="S57" s="4">
        <v>107.07704225352106</v>
      </c>
      <c r="T57" s="4">
        <v>37.139436619718282</v>
      </c>
      <c r="U57" s="4">
        <v>33</v>
      </c>
      <c r="V57" s="4">
        <v>43.328169014084573</v>
      </c>
      <c r="W57" s="4">
        <v>43.328169014084573</v>
      </c>
      <c r="X57" s="4">
        <v>43.328169014084573</v>
      </c>
      <c r="Y57" s="5">
        <f t="shared" si="0"/>
        <v>92.84908059571508</v>
      </c>
      <c r="Z57" s="4">
        <v>395</v>
      </c>
    </row>
    <row r="58" spans="2:26" x14ac:dyDescent="0.45">
      <c r="B58" s="1" t="s">
        <v>79</v>
      </c>
      <c r="C58" s="4">
        <v>0.46999999999999953</v>
      </c>
      <c r="D58" s="4">
        <v>0.46999999999999953</v>
      </c>
      <c r="E58" s="4">
        <v>0.46999999999999953</v>
      </c>
      <c r="F58" s="4">
        <v>5512.8194444444443</v>
      </c>
      <c r="G58" s="4">
        <v>5470.2638888888887</v>
      </c>
      <c r="H58" s="4">
        <v>5332.9444444444443</v>
      </c>
      <c r="I58" s="4">
        <v>16316.166666666666</v>
      </c>
      <c r="J58" s="4">
        <v>419.1479166666665</v>
      </c>
      <c r="K58" s="4">
        <v>39.17208333333334</v>
      </c>
      <c r="L58" s="4">
        <v>16418.819444444445</v>
      </c>
      <c r="M58" s="4">
        <v>2997.7916666666665</v>
      </c>
      <c r="N58" s="4">
        <v>49.607222222222241</v>
      </c>
      <c r="O58" s="4">
        <v>15572.638888888889</v>
      </c>
      <c r="P58" s="4">
        <v>99.375000000000043</v>
      </c>
      <c r="Q58" s="4">
        <v>100.62930555555558</v>
      </c>
      <c r="R58" s="4">
        <v>95.44041666666665</v>
      </c>
      <c r="S58" s="4">
        <v>104.77638888888889</v>
      </c>
      <c r="T58" s="4">
        <v>37.152777777777757</v>
      </c>
      <c r="U58" s="4">
        <v>33</v>
      </c>
      <c r="V58" s="4">
        <v>43.337500000000013</v>
      </c>
      <c r="W58" s="4">
        <v>43.337500000000013</v>
      </c>
      <c r="X58" s="4">
        <v>43.337500000000013</v>
      </c>
      <c r="Y58" s="5">
        <f t="shared" si="0"/>
        <v>94.843914062500033</v>
      </c>
      <c r="Z58" s="4">
        <v>395</v>
      </c>
    </row>
    <row r="59" spans="2:26" x14ac:dyDescent="0.45">
      <c r="B59" s="1" t="s">
        <v>80</v>
      </c>
      <c r="C59" s="4">
        <v>0.5</v>
      </c>
      <c r="D59" s="4">
        <v>0.5</v>
      </c>
      <c r="E59" s="4">
        <v>0.5</v>
      </c>
      <c r="F59" s="4">
        <v>11032.279569892473</v>
      </c>
      <c r="G59" s="4">
        <v>10890.365591397849</v>
      </c>
      <c r="H59" s="4">
        <v>10743.58064516129</v>
      </c>
      <c r="I59" s="4">
        <v>32666.16129032258</v>
      </c>
      <c r="J59" s="4">
        <v>419.15010752688204</v>
      </c>
      <c r="K59" s="4">
        <v>78.517634408602177</v>
      </c>
      <c r="L59" s="4">
        <v>32910.720430107525</v>
      </c>
      <c r="M59" s="4">
        <v>3001.2473118279568</v>
      </c>
      <c r="N59" s="4">
        <v>100.17827956989247</v>
      </c>
      <c r="O59" s="4">
        <v>31485.913978494624</v>
      </c>
      <c r="P59" s="4">
        <v>99.256774193548509</v>
      </c>
      <c r="Q59" s="4">
        <v>100.74817204301065</v>
      </c>
      <c r="R59" s="4">
        <v>96.386236559139761</v>
      </c>
      <c r="S59" s="4">
        <v>103.74956989247305</v>
      </c>
      <c r="T59" s="4">
        <v>37.14623655913973</v>
      </c>
      <c r="U59" s="4">
        <v>33.01075268817204</v>
      </c>
      <c r="V59" s="4">
        <v>43.387096774193623</v>
      </c>
      <c r="W59" s="4">
        <v>43.387096774193623</v>
      </c>
      <c r="X59" s="4">
        <v>43.387096774193623</v>
      </c>
      <c r="Y59" s="5">
        <f t="shared" si="0"/>
        <v>95.669869175164862</v>
      </c>
      <c r="Z59" s="4">
        <v>395</v>
      </c>
    </row>
    <row r="60" spans="2:26" x14ac:dyDescent="0.45">
      <c r="B60" s="1" t="s">
        <v>81</v>
      </c>
      <c r="C60" s="4">
        <v>0.51</v>
      </c>
      <c r="D60" s="4">
        <v>0.52000000000000068</v>
      </c>
      <c r="E60" s="4">
        <v>0.51848837209302368</v>
      </c>
      <c r="F60" s="4">
        <v>16558.023255813954</v>
      </c>
      <c r="G60" s="4">
        <v>16355.348837209302</v>
      </c>
      <c r="H60" s="4">
        <v>16166.046511627907</v>
      </c>
      <c r="I60" s="4">
        <v>49080.116279069771</v>
      </c>
      <c r="J60" s="4">
        <v>418.8981395348838</v>
      </c>
      <c r="K60" s="4">
        <v>118.17686046511625</v>
      </c>
      <c r="L60" s="4">
        <v>49504.186046511626</v>
      </c>
      <c r="M60" s="4">
        <v>3000.1744186046512</v>
      </c>
      <c r="N60" s="4">
        <v>150.41767441860461</v>
      </c>
      <c r="O60" s="4">
        <v>47256.860465116282</v>
      </c>
      <c r="P60" s="4">
        <v>99.142325581395369</v>
      </c>
      <c r="Q60" s="4">
        <v>100.86651162790703</v>
      </c>
      <c r="R60" s="4">
        <v>96.287093023255792</v>
      </c>
      <c r="S60" s="4">
        <v>103.85651162790704</v>
      </c>
      <c r="T60" s="4">
        <v>37.143023255813894</v>
      </c>
      <c r="U60" s="4">
        <v>33.099999999999945</v>
      </c>
      <c r="V60" s="4">
        <v>43.396511627907039</v>
      </c>
      <c r="W60" s="4">
        <v>43.396511627907039</v>
      </c>
      <c r="X60" s="4">
        <v>43.396511627907039</v>
      </c>
      <c r="Y60" s="5">
        <f t="shared" si="0"/>
        <v>95.461263257977279</v>
      </c>
      <c r="Z60" s="4">
        <v>395</v>
      </c>
    </row>
    <row r="61" spans="2:26" x14ac:dyDescent="0.45">
      <c r="B61" s="1" t="s">
        <v>82</v>
      </c>
      <c r="C61" s="4">
        <v>0.52000000000000057</v>
      </c>
      <c r="D61" s="4">
        <v>0.53000000000000058</v>
      </c>
      <c r="E61" s="4">
        <v>0.52058823529411835</v>
      </c>
      <c r="F61" s="4">
        <v>22147.882352941175</v>
      </c>
      <c r="G61" s="4">
        <v>21881.294117647059</v>
      </c>
      <c r="H61" s="4">
        <v>21643.176470588234</v>
      </c>
      <c r="I61" s="4">
        <v>65674</v>
      </c>
      <c r="J61" s="4">
        <v>418.8535294117649</v>
      </c>
      <c r="K61" s="4">
        <v>158.332705882353</v>
      </c>
      <c r="L61" s="4">
        <v>66319.529411764699</v>
      </c>
      <c r="M61" s="4">
        <v>2999.2352941176468</v>
      </c>
      <c r="N61" s="4">
        <v>200.51305882352941</v>
      </c>
      <c r="O61" s="4">
        <v>62974.823529411762</v>
      </c>
      <c r="P61" s="4">
        <v>99.027529411764789</v>
      </c>
      <c r="Q61" s="4">
        <v>100.98129411764701</v>
      </c>
      <c r="R61" s="4">
        <v>95.887294117647031</v>
      </c>
      <c r="S61" s="4">
        <v>104.28800000000005</v>
      </c>
      <c r="T61" s="4">
        <v>37.152941176470534</v>
      </c>
      <c r="U61" s="4">
        <v>33.099999999999945</v>
      </c>
      <c r="V61" s="4">
        <v>43.400000000000055</v>
      </c>
      <c r="W61" s="4">
        <v>43.400000000000055</v>
      </c>
      <c r="X61" s="4">
        <v>43.400000000000055</v>
      </c>
      <c r="Y61" s="5">
        <f t="shared" si="0"/>
        <v>94.954818384498324</v>
      </c>
      <c r="Z61" s="4">
        <v>395</v>
      </c>
    </row>
    <row r="62" spans="2:26" x14ac:dyDescent="0.45">
      <c r="B62" s="1" t="s">
        <v>83</v>
      </c>
      <c r="C62" s="4">
        <v>0.53000000000000058</v>
      </c>
      <c r="D62" s="4">
        <v>0.53000000000000058</v>
      </c>
      <c r="E62" s="4">
        <v>0.53000000000000058</v>
      </c>
      <c r="F62" s="4">
        <v>27756.219512195123</v>
      </c>
      <c r="G62" s="4">
        <v>27422.439024390245</v>
      </c>
      <c r="H62" s="4">
        <v>27144.878048780487</v>
      </c>
      <c r="I62" s="4">
        <v>82321.951219512193</v>
      </c>
      <c r="J62" s="4">
        <v>418.66475609756071</v>
      </c>
      <c r="K62" s="4">
        <v>198.74146341463415</v>
      </c>
      <c r="L62" s="4">
        <v>83206.951219512193</v>
      </c>
      <c r="M62" s="4">
        <v>3001.9024390243903</v>
      </c>
      <c r="N62" s="4">
        <v>250.70536585365863</v>
      </c>
      <c r="O62" s="4">
        <v>78814.024390243896</v>
      </c>
      <c r="P62" s="4">
        <v>98.938414634146255</v>
      </c>
      <c r="Q62" s="4">
        <v>101.07475609756089</v>
      </c>
      <c r="R62" s="4">
        <v>95.739024390243898</v>
      </c>
      <c r="S62" s="4">
        <v>104.45097560975611</v>
      </c>
      <c r="T62" s="4">
        <v>37.149999999999949</v>
      </c>
      <c r="U62" s="4">
        <v>33.199999999999982</v>
      </c>
      <c r="V62" s="4">
        <v>43.451219512195131</v>
      </c>
      <c r="W62" s="4">
        <v>43.451219512195131</v>
      </c>
      <c r="X62" s="4">
        <v>43.451219512195131</v>
      </c>
      <c r="Y62" s="5">
        <f t="shared" si="0"/>
        <v>94.722672917905925</v>
      </c>
      <c r="Z62" s="4">
        <v>395</v>
      </c>
    </row>
    <row r="63" spans="2:26" x14ac:dyDescent="0.45">
      <c r="B63" s="1" t="s">
        <v>84</v>
      </c>
      <c r="C63" s="4">
        <v>0.52000000000000091</v>
      </c>
      <c r="D63" s="4">
        <v>0.53000000000000069</v>
      </c>
      <c r="E63" s="4">
        <v>0.53000000000000069</v>
      </c>
      <c r="F63" s="4">
        <v>33486.122448979593</v>
      </c>
      <c r="G63" s="4">
        <v>33111.734693877552</v>
      </c>
      <c r="H63" s="4">
        <v>32794.081632653062</v>
      </c>
      <c r="I63" s="4">
        <v>99391.734693877544</v>
      </c>
      <c r="J63" s="4">
        <v>418.53520408163263</v>
      </c>
      <c r="K63" s="4">
        <v>240.34275510204085</v>
      </c>
      <c r="L63" s="4">
        <v>100590.20408163265</v>
      </c>
      <c r="M63" s="4">
        <v>2999.3367346938776</v>
      </c>
      <c r="N63" s="4">
        <v>301.07030612244915</v>
      </c>
      <c r="O63" s="4">
        <v>94570</v>
      </c>
      <c r="P63" s="4">
        <v>98.806938775510261</v>
      </c>
      <c r="Q63" s="4">
        <v>101.20551020408155</v>
      </c>
      <c r="R63" s="4">
        <v>95.15020408163268</v>
      </c>
      <c r="S63" s="4">
        <v>105.09714285714276</v>
      </c>
      <c r="T63" s="4">
        <v>37.151020408163205</v>
      </c>
      <c r="U63" s="4">
        <v>33.199999999999953</v>
      </c>
      <c r="V63" s="4">
        <v>43.610204081632581</v>
      </c>
      <c r="W63" s="4">
        <v>43.610204081632581</v>
      </c>
      <c r="X63" s="4">
        <v>43.610204081632581</v>
      </c>
      <c r="Y63" s="5">
        <f t="shared" si="0"/>
        <v>94.015003891711885</v>
      </c>
      <c r="Z63" s="4">
        <v>395</v>
      </c>
    </row>
    <row r="64" spans="2:26" x14ac:dyDescent="0.45">
      <c r="B64" s="1" t="s">
        <v>85</v>
      </c>
      <c r="C64" s="4">
        <v>0.52000000000000079</v>
      </c>
      <c r="D64" s="4">
        <v>0.53000000000000069</v>
      </c>
      <c r="E64" s="4">
        <v>0.52879120879120955</v>
      </c>
      <c r="F64" s="4">
        <v>39299.230769230766</v>
      </c>
      <c r="G64" s="4">
        <v>38841.0989010989</v>
      </c>
      <c r="H64" s="4">
        <v>38471.978021978022</v>
      </c>
      <c r="I64" s="4">
        <v>116613.18681318681</v>
      </c>
      <c r="J64" s="4">
        <v>418.38351648351636</v>
      </c>
      <c r="K64" s="4">
        <v>282.52989010989</v>
      </c>
      <c r="L64" s="4">
        <v>118202.41758241758</v>
      </c>
      <c r="M64" s="4">
        <v>2998.4395604395604</v>
      </c>
      <c r="N64" s="4">
        <v>350.86263736263732</v>
      </c>
      <c r="O64" s="4">
        <v>110172.63736263737</v>
      </c>
      <c r="P64" s="4">
        <v>98.653186813186778</v>
      </c>
      <c r="Q64" s="4">
        <v>101.36373626373629</v>
      </c>
      <c r="R64" s="4">
        <v>94.477142857142837</v>
      </c>
      <c r="S64" s="4">
        <v>105.84395604395597</v>
      </c>
      <c r="T64" s="4">
        <v>37.156043956043902</v>
      </c>
      <c r="U64" s="4">
        <v>33.201098901098867</v>
      </c>
      <c r="V64" s="4">
        <v>43.842857142857177</v>
      </c>
      <c r="W64" s="4">
        <v>43.842857142857177</v>
      </c>
      <c r="X64" s="4">
        <v>43.842857142857177</v>
      </c>
      <c r="Y64" s="5">
        <f t="shared" si="0"/>
        <v>93.20471223861847</v>
      </c>
      <c r="Z64" s="4">
        <v>395</v>
      </c>
    </row>
    <row r="65" spans="2:26" x14ac:dyDescent="0.45">
      <c r="B65" s="1" t="s">
        <v>86</v>
      </c>
      <c r="C65" s="4">
        <v>0.52000000000000091</v>
      </c>
      <c r="D65" s="4">
        <v>0.52000000000000091</v>
      </c>
      <c r="E65" s="4">
        <v>0.52000000000000091</v>
      </c>
      <c r="F65" s="4">
        <v>44591.25</v>
      </c>
      <c r="G65" s="4">
        <v>44145.367647058825</v>
      </c>
      <c r="H65" s="4">
        <v>43788.970588235294</v>
      </c>
      <c r="I65" s="4">
        <v>132526.10294117648</v>
      </c>
      <c r="J65" s="4">
        <v>418.26323529411803</v>
      </c>
      <c r="K65" s="4">
        <v>321.69470588235316</v>
      </c>
      <c r="L65" s="4">
        <v>134540.58823529413</v>
      </c>
      <c r="M65" s="4">
        <v>3002.2573529411766</v>
      </c>
      <c r="N65" s="4">
        <v>395.71455882352916</v>
      </c>
      <c r="O65" s="4">
        <v>124414.70588235294</v>
      </c>
      <c r="P65" s="4">
        <v>98.502573529411819</v>
      </c>
      <c r="Q65" s="4">
        <v>101.52014705882355</v>
      </c>
      <c r="R65" s="4">
        <v>93.879338235294057</v>
      </c>
      <c r="S65" s="4">
        <v>106.52014705882347</v>
      </c>
      <c r="T65" s="4">
        <v>37.17352941176464</v>
      </c>
      <c r="U65" s="4">
        <v>33.300000000000082</v>
      </c>
      <c r="V65" s="4">
        <v>44.099999999999945</v>
      </c>
      <c r="W65" s="4">
        <v>44.099999999999945</v>
      </c>
      <c r="X65" s="4">
        <v>44.099999999999945</v>
      </c>
      <c r="Y65" s="5">
        <f t="shared" si="0"/>
        <v>92.473564174145764</v>
      </c>
      <c r="Z65" s="4">
        <v>395</v>
      </c>
    </row>
    <row r="66" spans="2:26" x14ac:dyDescent="0.45">
      <c r="B66" s="1" t="s">
        <v>87</v>
      </c>
      <c r="C66" s="4">
        <v>0.52000000000000224</v>
      </c>
      <c r="D66" s="4">
        <v>0.52000000000000224</v>
      </c>
      <c r="E66" s="4">
        <v>0.52000000000000224</v>
      </c>
      <c r="F66" s="4">
        <v>3295.8854748603353</v>
      </c>
      <c r="G66" s="4">
        <v>3245.8882681564246</v>
      </c>
      <c r="H66" s="4">
        <v>3179.7849162011175</v>
      </c>
      <c r="I66" s="4">
        <v>9721.5642458100556</v>
      </c>
      <c r="J66" s="4">
        <v>419.13474860335185</v>
      </c>
      <c r="K66" s="4">
        <v>23.308212290502844</v>
      </c>
      <c r="L66" s="4">
        <v>9768.9748603351964</v>
      </c>
      <c r="M66" s="4">
        <v>3626.1480446927376</v>
      </c>
      <c r="N66" s="4">
        <v>23.954636871508299</v>
      </c>
      <c r="O66" s="4">
        <v>9096.2569832402241</v>
      </c>
      <c r="P66" s="4">
        <v>99.514888268156611</v>
      </c>
      <c r="Q66" s="4">
        <v>100.48768156424563</v>
      </c>
      <c r="R66" s="4">
        <v>93.567234636871788</v>
      </c>
      <c r="S66" s="4">
        <v>106.87555865921811</v>
      </c>
      <c r="T66" s="4">
        <v>37.343296089385262</v>
      </c>
      <c r="U66" s="4">
        <v>33.306145251396515</v>
      </c>
      <c r="V66" s="4">
        <v>44.362290502792909</v>
      </c>
      <c r="W66" s="4">
        <v>44.362290502792909</v>
      </c>
      <c r="X66" s="4">
        <v>44.362290502792909</v>
      </c>
      <c r="Y66" s="5">
        <f t="shared" si="0"/>
        <v>93.1133290044869</v>
      </c>
      <c r="Z66" s="4">
        <v>395</v>
      </c>
    </row>
    <row r="67" spans="2:26" x14ac:dyDescent="0.45">
      <c r="B67" s="1" t="s">
        <v>88</v>
      </c>
      <c r="C67" s="4">
        <v>0.54976635514018501</v>
      </c>
      <c r="D67" s="4">
        <v>0.54999999999999805</v>
      </c>
      <c r="E67" s="4">
        <v>0.54999999999999805</v>
      </c>
      <c r="F67" s="4">
        <v>6649.7196261682247</v>
      </c>
      <c r="G67" s="4">
        <v>6524.0560747663549</v>
      </c>
      <c r="H67" s="4">
        <v>6483.836448598131</v>
      </c>
      <c r="I67" s="4">
        <v>19657.901869158879</v>
      </c>
      <c r="J67" s="4">
        <v>419.14499999999981</v>
      </c>
      <c r="K67" s="4">
        <v>47.148037383177559</v>
      </c>
      <c r="L67" s="4">
        <v>19761.415887850468</v>
      </c>
      <c r="M67" s="4">
        <v>3626.0560747663553</v>
      </c>
      <c r="N67" s="4">
        <v>49.550654205607522</v>
      </c>
      <c r="O67" s="4">
        <v>18816.915887850468</v>
      </c>
      <c r="P67" s="4">
        <v>99.475981308411235</v>
      </c>
      <c r="Q67" s="4">
        <v>100.52668224299072</v>
      </c>
      <c r="R67" s="4">
        <v>95.71789719626176</v>
      </c>
      <c r="S67" s="4">
        <v>104.47448598130836</v>
      </c>
      <c r="T67" s="4">
        <v>37.348598130841111</v>
      </c>
      <c r="U67" s="4">
        <v>33.335046728972046</v>
      </c>
      <c r="V67" s="4">
        <v>44.29018691588783</v>
      </c>
      <c r="W67" s="4">
        <v>44.29018691588783</v>
      </c>
      <c r="X67" s="4">
        <v>44.29018691588783</v>
      </c>
      <c r="Y67" s="5">
        <f t="shared" si="0"/>
        <v>95.216317523757624</v>
      </c>
      <c r="Z67" s="4">
        <v>395</v>
      </c>
    </row>
    <row r="68" spans="2:26" x14ac:dyDescent="0.45">
      <c r="B68" s="1" t="s">
        <v>89</v>
      </c>
      <c r="C68" s="4">
        <v>0.57999999999999896</v>
      </c>
      <c r="D68" s="4">
        <v>0.57999999999999896</v>
      </c>
      <c r="E68" s="4">
        <v>0.57999999999999896</v>
      </c>
      <c r="F68" s="4">
        <v>13271.964601769912</v>
      </c>
      <c r="G68" s="4">
        <v>13032.924778761062</v>
      </c>
      <c r="H68" s="4">
        <v>13040.725663716814</v>
      </c>
      <c r="I68" s="4">
        <v>39345.654867256635</v>
      </c>
      <c r="J68" s="4">
        <v>418.9792477876108</v>
      </c>
      <c r="K68" s="4">
        <v>94.482168141593093</v>
      </c>
      <c r="L68" s="4">
        <v>39586.327433628321</v>
      </c>
      <c r="M68" s="4">
        <v>3626.1902654867258</v>
      </c>
      <c r="N68" s="4">
        <v>100.13995575221253</v>
      </c>
      <c r="O68" s="4">
        <v>38027.256637168139</v>
      </c>
      <c r="P68" s="4">
        <v>99.392920353982163</v>
      </c>
      <c r="Q68" s="4">
        <v>100.61128318584078</v>
      </c>
      <c r="R68" s="4">
        <v>96.648628318584187</v>
      </c>
      <c r="S68" s="4">
        <v>103.46654867256629</v>
      </c>
      <c r="T68" s="4">
        <v>37.356637168141539</v>
      </c>
      <c r="U68" s="4">
        <v>33.399999999999871</v>
      </c>
      <c r="V68" s="4">
        <v>44.249115044247908</v>
      </c>
      <c r="W68" s="4">
        <v>44.249115044247908</v>
      </c>
      <c r="X68" s="4">
        <v>44.249115044247908</v>
      </c>
      <c r="Y68" s="5">
        <f t="shared" ref="Y68:Y120" si="1">P68*R68*0.01</f>
        <v>96.06189416790663</v>
      </c>
      <c r="Z68" s="4">
        <v>395</v>
      </c>
    </row>
    <row r="69" spans="2:26" x14ac:dyDescent="0.45">
      <c r="B69" s="1" t="s">
        <v>90</v>
      </c>
      <c r="C69" s="4">
        <v>0.59999999999999687</v>
      </c>
      <c r="D69" s="4">
        <v>0.59999999999999687</v>
      </c>
      <c r="E69" s="4">
        <v>0.59999999999999687</v>
      </c>
      <c r="F69" s="4">
        <v>19905.875912408759</v>
      </c>
      <c r="G69" s="4">
        <v>19572.956204379563</v>
      </c>
      <c r="H69" s="4">
        <v>19600.912408759123</v>
      </c>
      <c r="I69" s="4">
        <v>59079.233576642335</v>
      </c>
      <c r="J69" s="4">
        <v>418.89883211678818</v>
      </c>
      <c r="K69" s="4">
        <v>142.04850364963514</v>
      </c>
      <c r="L69" s="4">
        <v>59504.963503649633</v>
      </c>
      <c r="M69" s="4">
        <v>3626.3759124087592</v>
      </c>
      <c r="N69" s="4">
        <v>150.45000000000007</v>
      </c>
      <c r="O69" s="4">
        <v>57134.598540145984</v>
      </c>
      <c r="P69" s="4">
        <v>99.285985401459982</v>
      </c>
      <c r="Q69" s="4">
        <v>100.72010948905097</v>
      </c>
      <c r="R69" s="4">
        <v>96.706934306569295</v>
      </c>
      <c r="S69" s="4">
        <v>103.40529197080296</v>
      </c>
      <c r="T69" s="4">
        <v>37.345255474452465</v>
      </c>
      <c r="U69" s="4">
        <v>33.399999999999828</v>
      </c>
      <c r="V69" s="4">
        <v>44.200000000000152</v>
      </c>
      <c r="W69" s="4">
        <v>44.200000000000152</v>
      </c>
      <c r="X69" s="4">
        <v>44.200000000000152</v>
      </c>
      <c r="Y69" s="5">
        <f t="shared" si="1"/>
        <v>96.016432677819893</v>
      </c>
      <c r="Z69" s="4">
        <v>395</v>
      </c>
    </row>
    <row r="70" spans="2:26" x14ac:dyDescent="0.45">
      <c r="B70" s="1" t="s">
        <v>91</v>
      </c>
      <c r="C70" s="4">
        <v>0.60382775119617027</v>
      </c>
      <c r="D70" s="4">
        <v>0.60999999999999954</v>
      </c>
      <c r="E70" s="4">
        <v>0.60999999999999954</v>
      </c>
      <c r="F70" s="4">
        <v>26599.090909090908</v>
      </c>
      <c r="G70" s="4">
        <v>26185.598086124402</v>
      </c>
      <c r="H70" s="4">
        <v>26219.377990430621</v>
      </c>
      <c r="I70" s="4">
        <v>79002.200956937799</v>
      </c>
      <c r="J70" s="4">
        <v>418.7167464114832</v>
      </c>
      <c r="K70" s="4">
        <v>190.18703349282313</v>
      </c>
      <c r="L70" s="4">
        <v>79635.167464114827</v>
      </c>
      <c r="M70" s="4">
        <v>3626.6028708133972</v>
      </c>
      <c r="N70" s="4">
        <v>200.76822966507194</v>
      </c>
      <c r="O70" s="4">
        <v>76247.60765550239</v>
      </c>
      <c r="P70" s="4">
        <v>99.206028708134014</v>
      </c>
      <c r="Q70" s="4">
        <v>100.80057416267944</v>
      </c>
      <c r="R70" s="4">
        <v>96.512822966507059</v>
      </c>
      <c r="S70" s="4">
        <v>103.6131100478469</v>
      </c>
      <c r="T70" s="4">
        <v>37.352153110047858</v>
      </c>
      <c r="U70" s="4">
        <v>33.399999999999892</v>
      </c>
      <c r="V70" s="4">
        <v>44.300000000000033</v>
      </c>
      <c r="W70" s="4">
        <v>44.300000000000033</v>
      </c>
      <c r="X70" s="4">
        <v>44.300000000000033</v>
      </c>
      <c r="Y70" s="5">
        <f t="shared" si="1"/>
        <v>95.746538859183545</v>
      </c>
      <c r="Z70" s="4">
        <v>395</v>
      </c>
    </row>
    <row r="71" spans="2:26" x14ac:dyDescent="0.45">
      <c r="B71" s="1" t="s">
        <v>92</v>
      </c>
      <c r="C71" s="4">
        <v>0.60999999999999954</v>
      </c>
      <c r="D71" s="4">
        <v>0.6155500000000006</v>
      </c>
      <c r="E71" s="4">
        <v>0.60999999999999954</v>
      </c>
      <c r="F71" s="4">
        <v>33295.300000000003</v>
      </c>
      <c r="G71" s="4">
        <v>32828.1</v>
      </c>
      <c r="H71" s="4">
        <v>32862</v>
      </c>
      <c r="I71" s="4">
        <v>98985.65</v>
      </c>
      <c r="J71" s="4">
        <v>418.54424999999986</v>
      </c>
      <c r="K71" s="4">
        <v>238.65794999999983</v>
      </c>
      <c r="L71" s="4">
        <v>99890.1</v>
      </c>
      <c r="M71" s="4">
        <v>3626.6950000000002</v>
      </c>
      <c r="N71" s="4">
        <v>250.74444999999992</v>
      </c>
      <c r="O71" s="4">
        <v>95230.5</v>
      </c>
      <c r="P71" s="4">
        <v>99.096050000000105</v>
      </c>
      <c r="Q71" s="4">
        <v>100.91254999999995</v>
      </c>
      <c r="R71" s="4">
        <v>96.205849999999785</v>
      </c>
      <c r="S71" s="4">
        <v>103.9439999999999</v>
      </c>
      <c r="T71" s="4">
        <v>37.35049999999999</v>
      </c>
      <c r="U71" s="4">
        <v>33.399999999999899</v>
      </c>
      <c r="V71" s="4">
        <v>44.459000000000024</v>
      </c>
      <c r="W71" s="4">
        <v>44.459000000000024</v>
      </c>
      <c r="X71" s="4">
        <v>44.459000000000024</v>
      </c>
      <c r="Y71" s="5">
        <f t="shared" si="1"/>
        <v>95.33619721892488</v>
      </c>
      <c r="Z71" s="4">
        <v>395</v>
      </c>
    </row>
    <row r="72" spans="2:26" x14ac:dyDescent="0.45">
      <c r="B72" s="1" t="s">
        <v>93</v>
      </c>
      <c r="C72" s="4">
        <v>0.61000000000000076</v>
      </c>
      <c r="D72" s="4">
        <v>0.61000000000000076</v>
      </c>
      <c r="E72" s="4">
        <v>0.61000000000000076</v>
      </c>
      <c r="F72" s="4">
        <v>40161.004366812223</v>
      </c>
      <c r="G72" s="4">
        <v>39587.24890829694</v>
      </c>
      <c r="H72" s="4">
        <v>39665.851528384279</v>
      </c>
      <c r="I72" s="4">
        <v>119414.01746724891</v>
      </c>
      <c r="J72" s="4">
        <v>418.39248908296986</v>
      </c>
      <c r="K72" s="4">
        <v>288.29580786026224</v>
      </c>
      <c r="L72" s="4">
        <v>120620.08733624454</v>
      </c>
      <c r="M72" s="4">
        <v>3626.711790393013</v>
      </c>
      <c r="N72" s="4">
        <v>301.07524017467216</v>
      </c>
      <c r="O72" s="4">
        <v>114345.10917030567</v>
      </c>
      <c r="P72" s="4">
        <v>98.999606986899437</v>
      </c>
      <c r="Q72" s="4">
        <v>101.01082969432331</v>
      </c>
      <c r="R72" s="4">
        <v>95.756506550218333</v>
      </c>
      <c r="S72" s="4">
        <v>104.43227074235806</v>
      </c>
      <c r="T72" s="4">
        <v>37.358951965065451</v>
      </c>
      <c r="U72" s="4">
        <v>33.543231441048178</v>
      </c>
      <c r="V72" s="4">
        <v>44.732751091702887</v>
      </c>
      <c r="W72" s="4">
        <v>44.732751091702887</v>
      </c>
      <c r="X72" s="4">
        <v>44.732751091702887</v>
      </c>
      <c r="Y72" s="5">
        <f t="shared" si="1"/>
        <v>94.798565149100767</v>
      </c>
      <c r="Z72" s="4">
        <v>395</v>
      </c>
    </row>
    <row r="73" spans="2:26" x14ac:dyDescent="0.45">
      <c r="B73" s="1" t="s">
        <v>94</v>
      </c>
      <c r="C73" s="4">
        <v>0.59999999999999787</v>
      </c>
      <c r="D73" s="4">
        <v>0.60999999999999954</v>
      </c>
      <c r="E73" s="4">
        <v>0.60999999999999954</v>
      </c>
      <c r="F73" s="4">
        <v>47015.95</v>
      </c>
      <c r="G73" s="4">
        <v>46475.6</v>
      </c>
      <c r="H73" s="4">
        <v>46470.75</v>
      </c>
      <c r="I73" s="4">
        <v>139962.35</v>
      </c>
      <c r="J73" s="4">
        <v>418.17610000000036</v>
      </c>
      <c r="K73" s="4">
        <v>338.5295000000001</v>
      </c>
      <c r="L73" s="4">
        <v>141562.04999999999</v>
      </c>
      <c r="M73" s="4">
        <v>3626.3150000000001</v>
      </c>
      <c r="N73" s="4">
        <v>351.10430000000031</v>
      </c>
      <c r="O73" s="4">
        <v>133331.6</v>
      </c>
      <c r="P73" s="4">
        <v>98.87049999999995</v>
      </c>
      <c r="Q73" s="4">
        <v>101.14330000000004</v>
      </c>
      <c r="R73" s="4">
        <v>95.26279999999997</v>
      </c>
      <c r="S73" s="4">
        <v>104.97349999999992</v>
      </c>
      <c r="T73" s="4">
        <v>37.35649999999999</v>
      </c>
      <c r="U73" s="4">
        <v>33.666499999999878</v>
      </c>
      <c r="V73" s="4">
        <v>45.168499999999966</v>
      </c>
      <c r="W73" s="4">
        <v>45.168499999999966</v>
      </c>
      <c r="X73" s="4">
        <v>45.168499999999966</v>
      </c>
      <c r="Y73" s="5">
        <f t="shared" si="1"/>
        <v>94.186806673999925</v>
      </c>
      <c r="Z73" s="4">
        <v>395</v>
      </c>
    </row>
    <row r="74" spans="2:26" x14ac:dyDescent="0.45">
      <c r="B74" s="1" t="s">
        <v>95</v>
      </c>
      <c r="C74" s="4">
        <v>0.59999999999999853</v>
      </c>
      <c r="D74" s="4">
        <v>0.59999999999999853</v>
      </c>
      <c r="E74" s="4">
        <v>0.59999999999999853</v>
      </c>
      <c r="F74" s="4">
        <v>53338.520710059172</v>
      </c>
      <c r="G74" s="4">
        <v>52761.183431952661</v>
      </c>
      <c r="H74" s="4">
        <v>52779.940828402367</v>
      </c>
      <c r="I74" s="4">
        <v>158880.65088757395</v>
      </c>
      <c r="J74" s="4">
        <v>418.0592899408278</v>
      </c>
      <c r="K74" s="4">
        <v>384.87751479289943</v>
      </c>
      <c r="L74" s="4">
        <v>160900.23668639053</v>
      </c>
      <c r="M74" s="4">
        <v>3626.8639053254437</v>
      </c>
      <c r="N74" s="4">
        <v>395.93124260355006</v>
      </c>
      <c r="O74" s="4">
        <v>150374.31952662722</v>
      </c>
      <c r="P74" s="4">
        <v>98.744911242603436</v>
      </c>
      <c r="Q74" s="4">
        <v>101.27147928994087</v>
      </c>
      <c r="R74" s="4">
        <v>94.646568047337183</v>
      </c>
      <c r="S74" s="4">
        <v>105.65644970414202</v>
      </c>
      <c r="T74" s="4">
        <v>37.366863905325395</v>
      </c>
      <c r="U74" s="4">
        <v>33.798224852071108</v>
      </c>
      <c r="V74" s="4">
        <v>45.705917159763324</v>
      </c>
      <c r="W74" s="4">
        <v>45.705917159763324</v>
      </c>
      <c r="X74" s="4">
        <v>45.705917159763324</v>
      </c>
      <c r="Y74" s="5">
        <f t="shared" si="1"/>
        <v>93.458669612513376</v>
      </c>
      <c r="Z74" s="4">
        <v>395</v>
      </c>
    </row>
    <row r="75" spans="2:26" x14ac:dyDescent="0.45">
      <c r="B75" s="1" t="s">
        <v>96</v>
      </c>
      <c r="C75" s="4">
        <v>0.55999999999999972</v>
      </c>
      <c r="D75" s="4">
        <v>0.57000000000000017</v>
      </c>
      <c r="E75" s="4">
        <v>0.5671666666666666</v>
      </c>
      <c r="F75" s="4">
        <v>3649.9333333333334</v>
      </c>
      <c r="G75" s="4">
        <v>3582.9666666666667</v>
      </c>
      <c r="H75" s="4">
        <v>3548.8833333333332</v>
      </c>
      <c r="I75" s="4">
        <v>10781.9</v>
      </c>
      <c r="J75" s="4">
        <v>419.18899999999974</v>
      </c>
      <c r="K75" s="4">
        <v>25.832166666666662</v>
      </c>
      <c r="L75" s="4">
        <v>10828.083333333334</v>
      </c>
      <c r="M75" s="4">
        <v>3998.85</v>
      </c>
      <c r="N75" s="4">
        <v>24.164500000000029</v>
      </c>
      <c r="O75" s="4">
        <v>10118.666666666666</v>
      </c>
      <c r="P75" s="4">
        <v>99.572333333333333</v>
      </c>
      <c r="Q75" s="4">
        <v>100.42849999999999</v>
      </c>
      <c r="R75" s="4">
        <v>93.856333333333311</v>
      </c>
      <c r="S75" s="4">
        <v>106.54616666666671</v>
      </c>
      <c r="T75" s="4">
        <v>37.54166666666665</v>
      </c>
      <c r="U75" s="4">
        <v>33.703333333333362</v>
      </c>
      <c r="V75" s="4">
        <v>44.833333333333371</v>
      </c>
      <c r="W75" s="4">
        <v>44.833333333333371</v>
      </c>
      <c r="X75" s="4">
        <v>44.833333333333371</v>
      </c>
      <c r="Y75" s="5">
        <f t="shared" si="1"/>
        <v>93.454941081111087</v>
      </c>
      <c r="Z75" s="4">
        <f>150000/M75/0.10472</f>
        <v>358.20076728896839</v>
      </c>
    </row>
    <row r="76" spans="2:26" x14ac:dyDescent="0.45">
      <c r="B76" s="1" t="s">
        <v>97</v>
      </c>
      <c r="C76" s="4">
        <v>0.5900000000000013</v>
      </c>
      <c r="D76" s="4">
        <v>0.5900000000000013</v>
      </c>
      <c r="E76" s="4">
        <v>0.5900000000000013</v>
      </c>
      <c r="F76" s="4">
        <v>7314.9354838709678</v>
      </c>
      <c r="G76" s="4">
        <v>7170.4623655913974</v>
      </c>
      <c r="H76" s="4">
        <v>7186.1075268817203</v>
      </c>
      <c r="I76" s="4">
        <v>21671.430107526881</v>
      </c>
      <c r="J76" s="4">
        <v>419.14784946236591</v>
      </c>
      <c r="K76" s="4">
        <v>51.956989247311839</v>
      </c>
      <c r="L76" s="4">
        <v>21776.903225806451</v>
      </c>
      <c r="M76" s="4">
        <v>3998.9247311827958</v>
      </c>
      <c r="N76" s="4">
        <v>49.676559139784921</v>
      </c>
      <c r="O76" s="4">
        <v>20804.946236559139</v>
      </c>
      <c r="P76" s="4">
        <v>99.514838709677548</v>
      </c>
      <c r="Q76" s="4">
        <v>100.48688172042999</v>
      </c>
      <c r="R76" s="4">
        <v>95.994301075268837</v>
      </c>
      <c r="S76" s="4">
        <v>104.1727956989247</v>
      </c>
      <c r="T76" s="4">
        <v>37.53333333333331</v>
      </c>
      <c r="U76" s="4">
        <v>33.764516129032266</v>
      </c>
      <c r="V76" s="4">
        <v>44.800000000000075</v>
      </c>
      <c r="W76" s="4">
        <v>44.800000000000075</v>
      </c>
      <c r="X76" s="4">
        <v>44.800000000000075</v>
      </c>
      <c r="Y76" s="5">
        <f t="shared" si="1"/>
        <v>95.528573885536048</v>
      </c>
      <c r="Z76" s="4">
        <f t="shared" ref="Z76:Z120" si="2">150000/M76/0.10472</f>
        <v>358.19407329775396</v>
      </c>
    </row>
    <row r="77" spans="2:26" x14ac:dyDescent="0.45">
      <c r="B77" s="1" t="s">
        <v>98</v>
      </c>
      <c r="C77" s="4">
        <v>0.62754385964912274</v>
      </c>
      <c r="D77" s="4">
        <v>0.63000000000000012</v>
      </c>
      <c r="E77" s="4">
        <v>0.63000000000000012</v>
      </c>
      <c r="F77" s="4">
        <v>14595.456140350878</v>
      </c>
      <c r="G77" s="4">
        <v>14339.035087719298</v>
      </c>
      <c r="H77" s="4">
        <v>14424.771929824561</v>
      </c>
      <c r="I77" s="4">
        <v>43359.017543859649</v>
      </c>
      <c r="J77" s="4">
        <v>418.95719298245638</v>
      </c>
      <c r="K77" s="4">
        <v>104.05964912280702</v>
      </c>
      <c r="L77" s="4">
        <v>43595.964912280702</v>
      </c>
      <c r="M77" s="4">
        <v>3999.5789473684213</v>
      </c>
      <c r="N77" s="4">
        <v>100.24315789473684</v>
      </c>
      <c r="O77" s="4">
        <v>41985.964912280702</v>
      </c>
      <c r="P77" s="4">
        <v>99.457017543859607</v>
      </c>
      <c r="Q77" s="4">
        <v>100.54842105263167</v>
      </c>
      <c r="R77" s="4">
        <v>96.834210526315758</v>
      </c>
      <c r="S77" s="4">
        <v>103.27263157894733</v>
      </c>
      <c r="T77" s="4">
        <v>37.550877192982441</v>
      </c>
      <c r="U77" s="4">
        <v>33.799999999999969</v>
      </c>
      <c r="V77" s="4">
        <v>44.717543859649119</v>
      </c>
      <c r="W77" s="4">
        <v>44.717543859649119</v>
      </c>
      <c r="X77" s="4">
        <v>44.717543859649119</v>
      </c>
      <c r="Y77" s="5">
        <f t="shared" si="1"/>
        <v>96.308417751615821</v>
      </c>
      <c r="Z77" s="4">
        <f t="shared" si="2"/>
        <v>358.13548304027182</v>
      </c>
    </row>
    <row r="78" spans="2:26" x14ac:dyDescent="0.45">
      <c r="B78" s="1" t="s">
        <v>99</v>
      </c>
      <c r="C78" s="4">
        <v>0.64000000000000035</v>
      </c>
      <c r="D78" s="4">
        <v>0.64999999999999913</v>
      </c>
      <c r="E78" s="4">
        <v>0.64999999999999913</v>
      </c>
      <c r="F78" s="4">
        <v>21892.222222222223</v>
      </c>
      <c r="G78" s="4">
        <v>21541.805555555555</v>
      </c>
      <c r="H78" s="4">
        <v>21681.805555555555</v>
      </c>
      <c r="I78" s="4">
        <v>65115.972222222219</v>
      </c>
      <c r="J78" s="4">
        <v>418.87736111111121</v>
      </c>
      <c r="K78" s="4">
        <v>156.45986111111102</v>
      </c>
      <c r="L78" s="4">
        <v>65537.777777777781</v>
      </c>
      <c r="M78" s="4">
        <v>3999.1944444444443</v>
      </c>
      <c r="N78" s="4">
        <v>150.68347222222224</v>
      </c>
      <c r="O78" s="4">
        <v>63106.805555555555</v>
      </c>
      <c r="P78" s="4">
        <v>99.355277777777758</v>
      </c>
      <c r="Q78" s="4">
        <v>100.64777777777782</v>
      </c>
      <c r="R78" s="4">
        <v>96.915833333333296</v>
      </c>
      <c r="S78" s="4">
        <v>103.18194444444444</v>
      </c>
      <c r="T78" s="4">
        <v>37.54166666666665</v>
      </c>
      <c r="U78" s="4">
        <v>33.816666666666677</v>
      </c>
      <c r="V78" s="4">
        <v>44.686111111111046</v>
      </c>
      <c r="W78" s="4">
        <v>44.686111111111046</v>
      </c>
      <c r="X78" s="4">
        <v>44.686111111111046</v>
      </c>
      <c r="Y78" s="5">
        <f t="shared" si="1"/>
        <v>96.290995418981424</v>
      </c>
      <c r="Z78" s="4">
        <f t="shared" si="2"/>
        <v>358.16991600979145</v>
      </c>
    </row>
    <row r="79" spans="2:26" x14ac:dyDescent="0.45">
      <c r="B79" s="1" t="s">
        <v>100</v>
      </c>
      <c r="C79" s="4">
        <v>0.64999999999999925</v>
      </c>
      <c r="D79" s="4">
        <v>0.65999999999999925</v>
      </c>
      <c r="E79" s="4">
        <v>0.65999999999999925</v>
      </c>
      <c r="F79" s="4">
        <v>29262.461538461539</v>
      </c>
      <c r="G79" s="4">
        <v>28828</v>
      </c>
      <c r="H79" s="4">
        <v>28991.692307692309</v>
      </c>
      <c r="I79" s="4">
        <v>87080.769230769234</v>
      </c>
      <c r="J79" s="4">
        <v>418.6798461538462</v>
      </c>
      <c r="K79" s="4">
        <v>209.50615384615378</v>
      </c>
      <c r="L79" s="4">
        <v>87718.61538461539</v>
      </c>
      <c r="M79" s="4">
        <v>4000.0615384615385</v>
      </c>
      <c r="N79" s="4">
        <v>201.18292307692306</v>
      </c>
      <c r="O79" s="4">
        <v>84271.846153846156</v>
      </c>
      <c r="P79" s="4">
        <v>99.277692307692263</v>
      </c>
      <c r="Q79" s="4">
        <v>100.72999999999998</v>
      </c>
      <c r="R79" s="4">
        <v>96.771538461538498</v>
      </c>
      <c r="S79" s="4">
        <v>103.33569230769233</v>
      </c>
      <c r="T79" s="4">
        <v>37.546153846153828</v>
      </c>
      <c r="U79" s="4">
        <v>33.900000000000041</v>
      </c>
      <c r="V79" s="4">
        <v>44.656923076923036</v>
      </c>
      <c r="W79" s="4">
        <v>44.656923076923036</v>
      </c>
      <c r="X79" s="4">
        <v>44.656923076923036</v>
      </c>
      <c r="Y79" s="5">
        <f t="shared" si="1"/>
        <v>96.072550195266274</v>
      </c>
      <c r="Z79" s="4">
        <f t="shared" si="2"/>
        <v>358.09227545644274</v>
      </c>
    </row>
    <row r="80" spans="2:26" x14ac:dyDescent="0.45">
      <c r="B80" s="1" t="s">
        <v>101</v>
      </c>
      <c r="C80" s="4">
        <v>0.65999999999999859</v>
      </c>
      <c r="D80" s="4">
        <v>0.65999999999999859</v>
      </c>
      <c r="E80" s="4">
        <v>0.65999999999999859</v>
      </c>
      <c r="F80" s="4">
        <v>36608.837209302328</v>
      </c>
      <c r="G80" s="4">
        <v>36125.465116279069</v>
      </c>
      <c r="H80" s="4">
        <v>36305.232558139534</v>
      </c>
      <c r="I80" s="4">
        <v>109040.58139534884</v>
      </c>
      <c r="J80" s="4">
        <v>418.5110465116278</v>
      </c>
      <c r="K80" s="4">
        <v>262.68279069767442</v>
      </c>
      <c r="L80" s="4">
        <v>109937.32558139534</v>
      </c>
      <c r="M80" s="4">
        <v>3999.3837209302324</v>
      </c>
      <c r="N80" s="4">
        <v>251.21499999999995</v>
      </c>
      <c r="O80" s="4">
        <v>105211.74418604652</v>
      </c>
      <c r="P80" s="4">
        <v>99.18337209302311</v>
      </c>
      <c r="Q80" s="4">
        <v>100.82174418604656</v>
      </c>
      <c r="R80" s="4">
        <v>96.488372093023173</v>
      </c>
      <c r="S80" s="4">
        <v>103.63988372093024</v>
      </c>
      <c r="T80" s="4">
        <v>37.55581395348834</v>
      </c>
      <c r="U80" s="4">
        <v>33.900000000000055</v>
      </c>
      <c r="V80" s="4">
        <v>44.699999999999932</v>
      </c>
      <c r="W80" s="4">
        <v>44.699999999999932</v>
      </c>
      <c r="X80" s="4">
        <v>44.699999999999932</v>
      </c>
      <c r="Y80" s="5">
        <f t="shared" si="1"/>
        <v>95.700421119523838</v>
      </c>
      <c r="Z80" s="4">
        <f t="shared" si="2"/>
        <v>358.15296511241633</v>
      </c>
    </row>
    <row r="81" spans="2:26" x14ac:dyDescent="0.45">
      <c r="B81" s="1" t="s">
        <v>102</v>
      </c>
      <c r="C81" s="4">
        <v>0.65999999999999848</v>
      </c>
      <c r="D81" s="4">
        <v>0.65999999999999848</v>
      </c>
      <c r="E81" s="4">
        <v>0.65999999999999848</v>
      </c>
      <c r="F81" s="4">
        <v>44241.555555555555</v>
      </c>
      <c r="G81" s="4">
        <v>43737.888888888891</v>
      </c>
      <c r="H81" s="4">
        <v>43916.444444444445</v>
      </c>
      <c r="I81" s="4">
        <v>131893.77777777778</v>
      </c>
      <c r="J81" s="4">
        <v>418.28911111111086</v>
      </c>
      <c r="K81" s="4">
        <v>318.22866666666658</v>
      </c>
      <c r="L81" s="4">
        <v>133112.55555555556</v>
      </c>
      <c r="M81" s="4">
        <v>4000.0777777777776</v>
      </c>
      <c r="N81" s="4">
        <v>302.52777777777771</v>
      </c>
      <c r="O81" s="4">
        <v>126724.77777777778</v>
      </c>
      <c r="P81" s="4">
        <v>99.084555555555482</v>
      </c>
      <c r="Q81" s="4">
        <v>100.92366666666663</v>
      </c>
      <c r="R81" s="4">
        <v>96.080555555555577</v>
      </c>
      <c r="S81" s="4">
        <v>104.07811111111116</v>
      </c>
      <c r="T81" s="4">
        <v>37.553333333333306</v>
      </c>
      <c r="U81" s="4">
        <v>33.900000000000055</v>
      </c>
      <c r="V81" s="4">
        <v>44.788888888888962</v>
      </c>
      <c r="W81" s="4">
        <v>44.788888888888962</v>
      </c>
      <c r="X81" s="4">
        <v>44.788888888888962</v>
      </c>
      <c r="Y81" s="5">
        <f t="shared" si="1"/>
        <v>95.200991447530811</v>
      </c>
      <c r="Z81" s="4">
        <f t="shared" si="2"/>
        <v>358.09082169128436</v>
      </c>
    </row>
    <row r="82" spans="2:26" x14ac:dyDescent="0.45">
      <c r="B82" s="1" t="s">
        <v>103</v>
      </c>
      <c r="C82" s="4">
        <v>0.64999999999999913</v>
      </c>
      <c r="D82" s="4">
        <v>0.64999999999999913</v>
      </c>
      <c r="E82" s="4">
        <v>0.64999999999999913</v>
      </c>
      <c r="F82" s="4">
        <v>52004.285714285717</v>
      </c>
      <c r="G82" s="4">
        <v>51507.380952380954</v>
      </c>
      <c r="H82" s="4">
        <v>51682.261904761908</v>
      </c>
      <c r="I82" s="4">
        <v>155193.21428571429</v>
      </c>
      <c r="J82" s="4">
        <v>418.08476190476188</v>
      </c>
      <c r="K82" s="4">
        <v>375.19880952380953</v>
      </c>
      <c r="L82" s="4">
        <v>156864.64285714287</v>
      </c>
      <c r="M82" s="4">
        <v>4000.4523809523807</v>
      </c>
      <c r="N82" s="4">
        <v>353.50357142857115</v>
      </c>
      <c r="O82" s="4">
        <v>148092.73809523811</v>
      </c>
      <c r="P82" s="4">
        <v>98.934880952380894</v>
      </c>
      <c r="Q82" s="4">
        <v>101.07571428571427</v>
      </c>
      <c r="R82" s="4">
        <v>95.425357142857109</v>
      </c>
      <c r="S82" s="4">
        <v>104.7961904761905</v>
      </c>
      <c r="T82" s="4">
        <v>37.557142857142814</v>
      </c>
      <c r="U82" s="4">
        <v>34</v>
      </c>
      <c r="V82" s="4">
        <v>44.946428571428591</v>
      </c>
      <c r="W82" s="4">
        <v>44.946428571428591</v>
      </c>
      <c r="X82" s="4">
        <v>44.946428571428591</v>
      </c>
      <c r="Y82" s="5">
        <f t="shared" si="1"/>
        <v>94.408963487669979</v>
      </c>
      <c r="Z82" s="4">
        <f t="shared" si="2"/>
        <v>358.05728999390925</v>
      </c>
    </row>
    <row r="83" spans="2:26" x14ac:dyDescent="0.45">
      <c r="B83" s="1" t="s">
        <v>104</v>
      </c>
      <c r="C83" s="4">
        <v>0.64000000000000046</v>
      </c>
      <c r="D83" s="4">
        <v>0.65</v>
      </c>
      <c r="E83" s="4">
        <v>0.65</v>
      </c>
      <c r="F83" s="4">
        <v>53288.086956521736</v>
      </c>
      <c r="G83" s="4">
        <v>52767.913043478264</v>
      </c>
      <c r="H83" s="4">
        <v>52974.521739130432</v>
      </c>
      <c r="I83" s="4">
        <v>159030.78260869565</v>
      </c>
      <c r="J83" s="4">
        <v>418.10843478260841</v>
      </c>
      <c r="K83" s="4">
        <v>384.57913043478266</v>
      </c>
      <c r="L83" s="4">
        <v>160797.39130434784</v>
      </c>
      <c r="M83" s="4">
        <v>3999.3304347826088</v>
      </c>
      <c r="N83" s="4">
        <v>362.03573913043493</v>
      </c>
      <c r="O83" s="4">
        <v>151620.60869565216</v>
      </c>
      <c r="P83" s="4">
        <v>98.902173913043413</v>
      </c>
      <c r="Q83" s="4">
        <v>101.10956521739138</v>
      </c>
      <c r="R83" s="4">
        <v>95.340000000000046</v>
      </c>
      <c r="S83" s="4">
        <v>104.88721739130429</v>
      </c>
      <c r="T83" s="4">
        <v>37.561739130434759</v>
      </c>
      <c r="U83" s="4">
        <v>34.08173913043472</v>
      </c>
      <c r="V83" s="4">
        <v>45.155652173912948</v>
      </c>
      <c r="W83" s="4">
        <v>45.155652173912948</v>
      </c>
      <c r="X83" s="4">
        <v>45.155652173912948</v>
      </c>
      <c r="Y83" s="5">
        <f t="shared" si="1"/>
        <v>94.293332608695636</v>
      </c>
      <c r="Z83" s="4">
        <f t="shared" si="2"/>
        <v>358.15773705914143</v>
      </c>
    </row>
    <row r="84" spans="2:26" x14ac:dyDescent="0.45">
      <c r="B84" s="1" t="s">
        <v>105</v>
      </c>
      <c r="C84" s="4">
        <v>0.67999999999999983</v>
      </c>
      <c r="D84" s="4">
        <v>0.67999999999999983</v>
      </c>
      <c r="E84" s="4">
        <v>0.67999999999999983</v>
      </c>
      <c r="F84" s="4">
        <v>4572.0561797752807</v>
      </c>
      <c r="G84" s="4">
        <v>4476.4606741573034</v>
      </c>
      <c r="H84" s="4">
        <v>4516.8089887640454</v>
      </c>
      <c r="I84" s="4">
        <v>13565.393258426966</v>
      </c>
      <c r="J84" s="4">
        <v>419.183483146068</v>
      </c>
      <c r="K84" s="4">
        <v>32.481235955056199</v>
      </c>
      <c r="L84" s="4">
        <v>13614.629213483146</v>
      </c>
      <c r="M84" s="4">
        <v>4999.1348314606739</v>
      </c>
      <c r="N84" s="4">
        <v>24.247640449438201</v>
      </c>
      <c r="O84" s="4">
        <v>12693.483146067416</v>
      </c>
      <c r="P84" s="4">
        <v>99.637303370786469</v>
      </c>
      <c r="Q84" s="4">
        <v>100.36573033707874</v>
      </c>
      <c r="R84" s="4">
        <v>93.578988764044936</v>
      </c>
      <c r="S84" s="4">
        <v>106.86314606741571</v>
      </c>
      <c r="T84" s="4">
        <v>37.752808988764038</v>
      </c>
      <c r="U84" s="4">
        <v>34.099999999999945</v>
      </c>
      <c r="V84" s="4">
        <v>45.286516853932625</v>
      </c>
      <c r="W84" s="4">
        <v>45.286516853932625</v>
      </c>
      <c r="X84" s="4">
        <v>45.286516853932625</v>
      </c>
      <c r="Y84" s="5">
        <f t="shared" si="1"/>
        <v>93.239580926145649</v>
      </c>
      <c r="Z84" s="4">
        <f t="shared" si="2"/>
        <v>286.52780662348482</v>
      </c>
    </row>
    <row r="85" spans="2:26" x14ac:dyDescent="0.45">
      <c r="B85" s="1" t="s">
        <v>106</v>
      </c>
      <c r="C85" s="4">
        <v>0.70000000000000118</v>
      </c>
      <c r="D85" s="4">
        <v>0.71000000000000074</v>
      </c>
      <c r="E85" s="4">
        <v>0.71000000000000074</v>
      </c>
      <c r="F85" s="4">
        <v>9067.6888888888898</v>
      </c>
      <c r="G85" s="4">
        <v>8921.6111111111113</v>
      </c>
      <c r="H85" s="4">
        <v>9024.8444444444449</v>
      </c>
      <c r="I85" s="4">
        <v>27014.288888888888</v>
      </c>
      <c r="J85" s="4">
        <v>419.11077777777803</v>
      </c>
      <c r="K85" s="4">
        <v>64.697444444444429</v>
      </c>
      <c r="L85" s="4">
        <v>27114.611111111109</v>
      </c>
      <c r="M85" s="4">
        <v>4999.4111111111115</v>
      </c>
      <c r="N85" s="4">
        <v>49.624333333333347</v>
      </c>
      <c r="O85" s="4">
        <v>25981.777777777777</v>
      </c>
      <c r="P85" s="4">
        <v>99.630000000000123</v>
      </c>
      <c r="Q85" s="4">
        <v>100.37255555555546</v>
      </c>
      <c r="R85" s="4">
        <v>96.172444444444565</v>
      </c>
      <c r="S85" s="4">
        <v>103.98199999999996</v>
      </c>
      <c r="T85" s="4">
        <v>37.754444444444438</v>
      </c>
      <c r="U85" s="4">
        <v>34.102222222222167</v>
      </c>
      <c r="V85" s="4">
        <v>45.199999999999925</v>
      </c>
      <c r="W85" s="4">
        <v>45.199999999999925</v>
      </c>
      <c r="X85" s="4">
        <v>45.199999999999925</v>
      </c>
      <c r="Y85" s="5">
        <f t="shared" si="1"/>
        <v>95.816606400000239</v>
      </c>
      <c r="Z85" s="4">
        <f t="shared" si="2"/>
        <v>286.51197239811398</v>
      </c>
    </row>
    <row r="86" spans="2:26" x14ac:dyDescent="0.45">
      <c r="B86" s="1" t="s">
        <v>107</v>
      </c>
      <c r="C86" s="4">
        <v>0.73999999999999888</v>
      </c>
      <c r="D86" s="4">
        <v>0.75</v>
      </c>
      <c r="E86" s="4">
        <v>0.73999999999999888</v>
      </c>
      <c r="F86" s="4">
        <v>18100.91869918699</v>
      </c>
      <c r="G86" s="4">
        <v>17883.08130081301</v>
      </c>
      <c r="H86" s="4">
        <v>18079.853658536584</v>
      </c>
      <c r="I86" s="4">
        <v>54064.097560975613</v>
      </c>
      <c r="J86" s="4">
        <v>418.87422764227625</v>
      </c>
      <c r="K86" s="4">
        <v>129.6421138211382</v>
      </c>
      <c r="L86" s="4">
        <v>54304.796747967477</v>
      </c>
      <c r="M86" s="4">
        <v>4999.6260162601629</v>
      </c>
      <c r="N86" s="4">
        <v>100.39691056910571</v>
      </c>
      <c r="O86" s="4">
        <v>52563.9837398374</v>
      </c>
      <c r="P86" s="4">
        <v>99.55772357723589</v>
      </c>
      <c r="Q86" s="4">
        <v>100.44390243902428</v>
      </c>
      <c r="R86" s="4">
        <v>97.22593495934963</v>
      </c>
      <c r="S86" s="4">
        <v>102.8547967479675</v>
      </c>
      <c r="T86" s="4">
        <v>37.764227642276438</v>
      </c>
      <c r="U86" s="4">
        <v>34.199999999999925</v>
      </c>
      <c r="V86" s="4">
        <v>45.184552845528401</v>
      </c>
      <c r="W86" s="4">
        <v>45.184552845528401</v>
      </c>
      <c r="X86" s="4">
        <v>45.184552845528401</v>
      </c>
      <c r="Y86" s="5">
        <f t="shared" si="1"/>
        <v>96.795927572212463</v>
      </c>
      <c r="Z86" s="4">
        <f t="shared" si="2"/>
        <v>286.49965689732795</v>
      </c>
    </row>
    <row r="87" spans="2:26" x14ac:dyDescent="0.45">
      <c r="B87" s="1" t="s">
        <v>108</v>
      </c>
      <c r="C87" s="4">
        <v>0.75</v>
      </c>
      <c r="D87" s="4">
        <v>0.75</v>
      </c>
      <c r="E87" s="4">
        <v>0.75</v>
      </c>
      <c r="F87" s="4">
        <v>27164.333333333332</v>
      </c>
      <c r="G87" s="4">
        <v>26886.444444444445</v>
      </c>
      <c r="H87" s="4">
        <v>27137.333333333332</v>
      </c>
      <c r="I87" s="4">
        <v>81187.888888888891</v>
      </c>
      <c r="J87" s="4">
        <v>418.69000000000017</v>
      </c>
      <c r="K87" s="4">
        <v>194.94555555555547</v>
      </c>
      <c r="L87" s="4">
        <v>81622.111111111109</v>
      </c>
      <c r="M87" s="4">
        <v>5000.1222222222223</v>
      </c>
      <c r="N87" s="4">
        <v>150.71944444444438</v>
      </c>
      <c r="O87" s="4">
        <v>78918.777777777781</v>
      </c>
      <c r="P87" s="4">
        <v>99.468444444444302</v>
      </c>
      <c r="Q87" s="4">
        <v>100.53422222222237</v>
      </c>
      <c r="R87" s="4">
        <v>97.203888888888855</v>
      </c>
      <c r="S87" s="4">
        <v>102.87555555555559</v>
      </c>
      <c r="T87" s="4">
        <v>37.77555555555557</v>
      </c>
      <c r="U87" s="4">
        <v>34.256666666666668</v>
      </c>
      <c r="V87" s="4">
        <v>45.122222222222163</v>
      </c>
      <c r="W87" s="4">
        <v>45.122222222222163</v>
      </c>
      <c r="X87" s="4">
        <v>45.122222222222163</v>
      </c>
      <c r="Y87" s="5">
        <f t="shared" si="1"/>
        <v>96.687196217283784</v>
      </c>
      <c r="Z87" s="4">
        <f t="shared" si="2"/>
        <v>286.47122502475321</v>
      </c>
    </row>
    <row r="88" spans="2:26" x14ac:dyDescent="0.45">
      <c r="B88" s="1" t="s">
        <v>109</v>
      </c>
      <c r="C88" s="4">
        <v>0.73999999999999921</v>
      </c>
      <c r="D88" s="4">
        <v>0.73999999999999921</v>
      </c>
      <c r="E88" s="4">
        <v>0.73999999999999921</v>
      </c>
      <c r="F88" s="4">
        <v>36425.304347826088</v>
      </c>
      <c r="G88" s="4">
        <v>36123.82608695652</v>
      </c>
      <c r="H88" s="4">
        <v>36402.521739130432</v>
      </c>
      <c r="I88" s="4">
        <v>108952.26086956522</v>
      </c>
      <c r="J88" s="4">
        <v>418.46382608695643</v>
      </c>
      <c r="K88" s="4">
        <v>262.07704347826069</v>
      </c>
      <c r="L88" s="4">
        <v>109671.13043478261</v>
      </c>
      <c r="M88" s="4">
        <v>5000.1565217391308</v>
      </c>
      <c r="N88" s="4">
        <v>201.69921739130444</v>
      </c>
      <c r="O88" s="4">
        <v>105613.73913043478</v>
      </c>
      <c r="P88" s="4">
        <v>99.345826086956578</v>
      </c>
      <c r="Q88" s="4">
        <v>100.66052173913036</v>
      </c>
      <c r="R88" s="4">
        <v>96.936782608695694</v>
      </c>
      <c r="S88" s="4">
        <v>103.16104347826096</v>
      </c>
      <c r="T88" s="4">
        <v>37.759130434782612</v>
      </c>
      <c r="U88" s="4">
        <v>34.300000000000068</v>
      </c>
      <c r="V88" s="4">
        <v>45.121739130434761</v>
      </c>
      <c r="W88" s="4">
        <v>45.121739130434761</v>
      </c>
      <c r="X88" s="4">
        <v>45.121739130434761</v>
      </c>
      <c r="Y88" s="5">
        <f t="shared" si="1"/>
        <v>96.302647464725993</v>
      </c>
      <c r="Z88" s="4">
        <f t="shared" si="2"/>
        <v>286.46925992134419</v>
      </c>
    </row>
    <row r="89" spans="2:26" x14ac:dyDescent="0.45">
      <c r="B89" s="1" t="s">
        <v>110</v>
      </c>
      <c r="C89" s="4">
        <v>0.71999999999999909</v>
      </c>
      <c r="D89" s="4">
        <v>0.71999999999999909</v>
      </c>
      <c r="E89" s="4">
        <v>0.71999999999999909</v>
      </c>
      <c r="F89" s="4">
        <v>45869.610389610389</v>
      </c>
      <c r="G89" s="4">
        <v>45551.233766233767</v>
      </c>
      <c r="H89" s="4">
        <v>45859.220779220777</v>
      </c>
      <c r="I89" s="4">
        <v>137279.41558441558</v>
      </c>
      <c r="J89" s="4">
        <v>418.20772727272691</v>
      </c>
      <c r="K89" s="4">
        <v>330.94415584415611</v>
      </c>
      <c r="L89" s="4">
        <v>138403.18181818182</v>
      </c>
      <c r="M89" s="4">
        <v>5000.1428571428569</v>
      </c>
      <c r="N89" s="4">
        <v>252.49318181818157</v>
      </c>
      <c r="O89" s="4">
        <v>132207.01298701297</v>
      </c>
      <c r="P89" s="4">
        <v>99.188441558441539</v>
      </c>
      <c r="Q89" s="4">
        <v>100.81961038961035</v>
      </c>
      <c r="R89" s="4">
        <v>96.306818181818187</v>
      </c>
      <c r="S89" s="4">
        <v>103.83655844155845</v>
      </c>
      <c r="T89" s="4">
        <v>37.7701298701299</v>
      </c>
      <c r="U89" s="4">
        <v>34.300000000000097</v>
      </c>
      <c r="V89" s="4">
        <v>45.180519480519372</v>
      </c>
      <c r="W89" s="4">
        <v>45.180519480519372</v>
      </c>
      <c r="X89" s="4">
        <v>45.180519480519372</v>
      </c>
      <c r="Y89" s="5">
        <f t="shared" si="1"/>
        <v>95.525232069067286</v>
      </c>
      <c r="Z89" s="4">
        <f t="shared" si="2"/>
        <v>286.47004279633268</v>
      </c>
    </row>
    <row r="90" spans="2:26" x14ac:dyDescent="0.45">
      <c r="B90" s="1" t="s">
        <v>111</v>
      </c>
      <c r="C90" s="4">
        <v>0.6899999999999985</v>
      </c>
      <c r="D90" s="4">
        <v>0.70000000000000184</v>
      </c>
      <c r="E90" s="4">
        <v>0.6899999999999985</v>
      </c>
      <c r="F90" s="4">
        <v>52865.741935483871</v>
      </c>
      <c r="G90" s="4">
        <v>52564.709677419356</v>
      </c>
      <c r="H90" s="4">
        <v>52875.548387096773</v>
      </c>
      <c r="I90" s="4">
        <v>158306.25806451612</v>
      </c>
      <c r="J90" s="4">
        <v>418.08587096774176</v>
      </c>
      <c r="K90" s="4">
        <v>382.29870967741971</v>
      </c>
      <c r="L90" s="4">
        <v>159835.35483870967</v>
      </c>
      <c r="M90" s="4">
        <v>5000.3935483870964</v>
      </c>
      <c r="N90" s="4">
        <v>288.91832258064551</v>
      </c>
      <c r="O90" s="4">
        <v>151291.16129032258</v>
      </c>
      <c r="P90" s="4">
        <v>99.044000000000267</v>
      </c>
      <c r="Q90" s="4">
        <v>100.96496774193528</v>
      </c>
      <c r="R90" s="4">
        <v>95.569483870967645</v>
      </c>
      <c r="S90" s="4">
        <v>104.63638709677417</v>
      </c>
      <c r="T90" s="4">
        <v>37.774193548387117</v>
      </c>
      <c r="U90" s="4">
        <v>34.300000000000097</v>
      </c>
      <c r="V90" s="4">
        <v>45.300645161290376</v>
      </c>
      <c r="W90" s="4">
        <v>45.300645161290376</v>
      </c>
      <c r="X90" s="4">
        <v>45.300645161290376</v>
      </c>
      <c r="Y90" s="5">
        <f t="shared" si="1"/>
        <v>94.655839605161461</v>
      </c>
      <c r="Z90" s="4">
        <f t="shared" si="2"/>
        <v>286.455680820466</v>
      </c>
    </row>
    <row r="91" spans="2:26" x14ac:dyDescent="0.45">
      <c r="B91" s="1" t="s">
        <v>112</v>
      </c>
      <c r="C91" s="4">
        <v>0.75</v>
      </c>
      <c r="D91" s="4">
        <v>0.75</v>
      </c>
      <c r="E91" s="4">
        <v>0.75</v>
      </c>
      <c r="F91" s="4">
        <v>5450.9300291545187</v>
      </c>
      <c r="G91" s="4">
        <v>5351.3965014577261</v>
      </c>
      <c r="H91" s="4">
        <v>5424.9854227405249</v>
      </c>
      <c r="I91" s="4">
        <v>16227.34110787172</v>
      </c>
      <c r="J91" s="4">
        <v>419.14425655976663</v>
      </c>
      <c r="K91" s="4">
        <v>38.832623906705599</v>
      </c>
      <c r="L91" s="4">
        <v>16276.241982507288</v>
      </c>
      <c r="M91" s="4">
        <v>5996.6151603498538</v>
      </c>
      <c r="N91" s="4">
        <v>24.207638483965017</v>
      </c>
      <c r="O91" s="4">
        <v>15201.749271137027</v>
      </c>
      <c r="P91" s="4">
        <v>99.698658892128236</v>
      </c>
      <c r="Q91" s="4">
        <v>100.30206997084557</v>
      </c>
      <c r="R91" s="4">
        <v>93.678775510204318</v>
      </c>
      <c r="S91" s="4">
        <v>106.7486588921284</v>
      </c>
      <c r="T91" s="4">
        <v>37.9419825072885</v>
      </c>
      <c r="U91" s="4">
        <v>34.360932944606212</v>
      </c>
      <c r="V91" s="4">
        <v>43.733527696792827</v>
      </c>
      <c r="W91" s="4">
        <v>43.733527696792827</v>
      </c>
      <c r="X91" s="4">
        <v>43.733527696792827</v>
      </c>
      <c r="Y91" s="5">
        <f t="shared" si="1"/>
        <v>93.396482850241171</v>
      </c>
      <c r="Z91" s="4">
        <f t="shared" si="2"/>
        <v>238.86661057467674</v>
      </c>
    </row>
    <row r="92" spans="2:26" x14ac:dyDescent="0.45">
      <c r="B92" s="1" t="s">
        <v>113</v>
      </c>
      <c r="C92" s="4">
        <v>0.75</v>
      </c>
      <c r="D92" s="4">
        <v>0.74671641791044741</v>
      </c>
      <c r="E92" s="4">
        <v>0.74037313432835672</v>
      </c>
      <c r="F92" s="4">
        <v>10834.544776119403</v>
      </c>
      <c r="G92" s="4">
        <v>10689.141791044776</v>
      </c>
      <c r="H92" s="4">
        <v>10824.955223880597</v>
      </c>
      <c r="I92" s="4">
        <v>32348.597014925374</v>
      </c>
      <c r="J92" s="4">
        <v>419.11597014925366</v>
      </c>
      <c r="K92" s="4">
        <v>77.463731343283555</v>
      </c>
      <c r="L92" s="4">
        <v>32466.432835820895</v>
      </c>
      <c r="M92" s="4">
        <v>5996.7313432835817</v>
      </c>
      <c r="N92" s="4">
        <v>49.496492537313443</v>
      </c>
      <c r="O92" s="4">
        <v>31082.238805970148</v>
      </c>
      <c r="P92" s="4">
        <v>99.636492537313373</v>
      </c>
      <c r="Q92" s="4">
        <v>100.36522388059701</v>
      </c>
      <c r="R92" s="4">
        <v>96.086119402985133</v>
      </c>
      <c r="S92" s="4">
        <v>104.07753731343273</v>
      </c>
      <c r="T92" s="4">
        <v>37.940298507462664</v>
      </c>
      <c r="U92" s="4">
        <v>34.400000000000013</v>
      </c>
      <c r="V92" s="4">
        <v>43.705223880596904</v>
      </c>
      <c r="W92" s="4">
        <v>43.705223880596904</v>
      </c>
      <c r="X92" s="4">
        <v>43.705223880596904</v>
      </c>
      <c r="Y92" s="5">
        <f t="shared" si="1"/>
        <v>95.736839188349293</v>
      </c>
      <c r="Z92" s="4">
        <f t="shared" si="2"/>
        <v>238.86198268291412</v>
      </c>
    </row>
    <row r="93" spans="2:26" x14ac:dyDescent="0.45">
      <c r="B93" s="1" t="s">
        <v>114</v>
      </c>
      <c r="C93" s="4">
        <v>0.75999999999999956</v>
      </c>
      <c r="D93" s="4">
        <v>0.75999999999999956</v>
      </c>
      <c r="E93" s="4">
        <v>0.75999999999999956</v>
      </c>
      <c r="F93" s="4">
        <v>21824.013513513513</v>
      </c>
      <c r="G93" s="4">
        <v>21624.837837837837</v>
      </c>
      <c r="H93" s="4">
        <v>21843.864864864863</v>
      </c>
      <c r="I93" s="4">
        <v>65292.87837837838</v>
      </c>
      <c r="J93" s="4">
        <v>418.88040540540527</v>
      </c>
      <c r="K93" s="4">
        <v>156.61527027027023</v>
      </c>
      <c r="L93" s="4">
        <v>65604.459459459453</v>
      </c>
      <c r="M93" s="4">
        <v>5999.7432432432433</v>
      </c>
      <c r="N93" s="4">
        <v>100.98527027027025</v>
      </c>
      <c r="O93" s="4">
        <v>63450.810810810814</v>
      </c>
      <c r="P93" s="4">
        <v>99.527567567567672</v>
      </c>
      <c r="Q93" s="4">
        <v>100.47675675675673</v>
      </c>
      <c r="R93" s="4">
        <v>97.1754054054054</v>
      </c>
      <c r="S93" s="4">
        <v>102.90743243243243</v>
      </c>
      <c r="T93" s="4">
        <v>37.931081081081111</v>
      </c>
      <c r="U93" s="4">
        <v>34.401351351351401</v>
      </c>
      <c r="V93" s="4">
        <v>43.699999999999953</v>
      </c>
      <c r="W93" s="4">
        <v>43.699999999999953</v>
      </c>
      <c r="X93" s="4">
        <v>43.699999999999953</v>
      </c>
      <c r="Y93" s="5">
        <f t="shared" si="1"/>
        <v>96.71631727392267</v>
      </c>
      <c r="Z93" s="4">
        <f t="shared" si="2"/>
        <v>238.7420728189683</v>
      </c>
    </row>
    <row r="94" spans="2:26" x14ac:dyDescent="0.45">
      <c r="B94" s="1" t="s">
        <v>115</v>
      </c>
      <c r="C94" s="4">
        <v>0.7699999999999988</v>
      </c>
      <c r="D94" s="4">
        <v>0.7699999999999988</v>
      </c>
      <c r="E94" s="4">
        <v>0.76883435582821935</v>
      </c>
      <c r="F94" s="4">
        <v>32801.472392638039</v>
      </c>
      <c r="G94" s="4">
        <v>32574.233128834356</v>
      </c>
      <c r="H94" s="4">
        <v>32850.613496932514</v>
      </c>
      <c r="I94" s="4">
        <v>98224.785276073613</v>
      </c>
      <c r="J94" s="4">
        <v>418.5766871165643</v>
      </c>
      <c r="K94" s="4">
        <v>236.03134969325168</v>
      </c>
      <c r="L94" s="4">
        <v>98798.650306748459</v>
      </c>
      <c r="M94" s="4">
        <v>6000.3251533742332</v>
      </c>
      <c r="N94" s="4">
        <v>151.34018404907974</v>
      </c>
      <c r="O94" s="4">
        <v>95097.546012269944</v>
      </c>
      <c r="P94" s="4">
        <v>99.418711656441701</v>
      </c>
      <c r="Q94" s="4">
        <v>100.58441717791415</v>
      </c>
      <c r="R94" s="4">
        <v>96.817852760736088</v>
      </c>
      <c r="S94" s="4">
        <v>103.28766871165635</v>
      </c>
      <c r="T94" s="4">
        <v>37.939877300613446</v>
      </c>
      <c r="U94" s="4">
        <v>34.498773006134968</v>
      </c>
      <c r="V94" s="4">
        <v>43.693865030674729</v>
      </c>
      <c r="W94" s="4">
        <v>43.693865030674729</v>
      </c>
      <c r="X94" s="4">
        <v>43.693865030674729</v>
      </c>
      <c r="Y94" s="5">
        <f t="shared" si="1"/>
        <v>96.255061868154499</v>
      </c>
      <c r="Z94" s="4">
        <f t="shared" si="2"/>
        <v>238.71891966854463</v>
      </c>
    </row>
    <row r="95" spans="2:26" x14ac:dyDescent="0.45">
      <c r="B95" s="1" t="s">
        <v>116</v>
      </c>
      <c r="C95" s="4">
        <v>0.75</v>
      </c>
      <c r="D95" s="4">
        <v>0.75</v>
      </c>
      <c r="E95" s="4">
        <v>0.75</v>
      </c>
      <c r="F95" s="4">
        <v>44085.584415584417</v>
      </c>
      <c r="G95" s="4">
        <v>43847.727272727272</v>
      </c>
      <c r="H95" s="4">
        <v>44173.376623376622</v>
      </c>
      <c r="I95" s="4">
        <v>132106.36363636365</v>
      </c>
      <c r="J95" s="4">
        <v>418.29487012987028</v>
      </c>
      <c r="K95" s="4">
        <v>318.18675324675314</v>
      </c>
      <c r="L95" s="4">
        <v>133097.7922077922</v>
      </c>
      <c r="M95" s="4">
        <v>5997.9285714285716</v>
      </c>
      <c r="N95" s="4">
        <v>202.46045454545461</v>
      </c>
      <c r="O95" s="4">
        <v>127168.7012987013</v>
      </c>
      <c r="P95" s="4">
        <v>99.255714285714362</v>
      </c>
      <c r="Q95" s="4">
        <v>100.74896103896101</v>
      </c>
      <c r="R95" s="4">
        <v>96.262142857142891</v>
      </c>
      <c r="S95" s="4">
        <v>103.88428571428564</v>
      </c>
      <c r="T95" s="4">
        <v>37.955194805194786</v>
      </c>
      <c r="U95" s="4">
        <v>34.5</v>
      </c>
      <c r="V95" s="4">
        <v>43.722077922077887</v>
      </c>
      <c r="W95" s="4">
        <v>43.722077922077887</v>
      </c>
      <c r="X95" s="4">
        <v>43.722077922077887</v>
      </c>
      <c r="Y95" s="5">
        <f t="shared" si="1"/>
        <v>95.545677479591944</v>
      </c>
      <c r="Z95" s="4">
        <f t="shared" si="2"/>
        <v>238.81430417440399</v>
      </c>
    </row>
    <row r="96" spans="2:26" x14ac:dyDescent="0.45">
      <c r="B96" s="1" t="s">
        <v>117</v>
      </c>
      <c r="C96" s="4">
        <v>0.70000000000000018</v>
      </c>
      <c r="D96" s="4">
        <v>0.70999999999999885</v>
      </c>
      <c r="E96" s="4">
        <v>0.70000000000000018</v>
      </c>
      <c r="F96" s="4">
        <v>53302.877358490565</v>
      </c>
      <c r="G96" s="4">
        <v>53098.207547169812</v>
      </c>
      <c r="H96" s="4">
        <v>53415.141509433961</v>
      </c>
      <c r="I96" s="4">
        <v>159816.08490566039</v>
      </c>
      <c r="J96" s="4">
        <v>418.07349056603749</v>
      </c>
      <c r="K96" s="4">
        <v>385.88820754716892</v>
      </c>
      <c r="L96" s="4">
        <v>161333.63207547169</v>
      </c>
      <c r="M96" s="4">
        <v>5997.433962264151</v>
      </c>
      <c r="N96" s="4">
        <v>242.65811320754702</v>
      </c>
      <c r="O96" s="4">
        <v>152404.5754716981</v>
      </c>
      <c r="P96" s="4">
        <v>99.059198113207529</v>
      </c>
      <c r="Q96" s="4">
        <v>100.94995283018862</v>
      </c>
      <c r="R96" s="4">
        <v>95.362169811320726</v>
      </c>
      <c r="S96" s="4">
        <v>104.8624528301887</v>
      </c>
      <c r="T96" s="4">
        <v>37.969339622641478</v>
      </c>
      <c r="U96" s="4">
        <v>34.660849056603645</v>
      </c>
      <c r="V96" s="4">
        <v>43.865094339622487</v>
      </c>
      <c r="W96" s="4">
        <v>43.865094339622487</v>
      </c>
      <c r="X96" s="4">
        <v>43.865094339622487</v>
      </c>
      <c r="Y96" s="5">
        <f t="shared" si="1"/>
        <v>94.465000718449573</v>
      </c>
      <c r="Z96" s="4">
        <f t="shared" si="2"/>
        <v>238.8339992213495</v>
      </c>
    </row>
    <row r="97" spans="2:26" x14ac:dyDescent="0.45">
      <c r="B97" s="1" t="s">
        <v>118</v>
      </c>
      <c r="C97" s="4">
        <v>0.52636645962732997</v>
      </c>
      <c r="D97" s="4">
        <v>0.51962732919254784</v>
      </c>
      <c r="E97" s="4">
        <v>0.52000000000000135</v>
      </c>
      <c r="F97" s="4">
        <v>6358.2360248447203</v>
      </c>
      <c r="G97" s="4">
        <v>6215.7546583850935</v>
      </c>
      <c r="H97" s="4">
        <v>6322.7298136645959</v>
      </c>
      <c r="I97" s="4">
        <v>18896.742236024846</v>
      </c>
      <c r="J97" s="4">
        <v>419.14515527950272</v>
      </c>
      <c r="K97" s="4">
        <v>45.34804347826087</v>
      </c>
      <c r="L97" s="4">
        <v>19007.208074534163</v>
      </c>
      <c r="M97" s="4">
        <v>6999.0900621118017</v>
      </c>
      <c r="N97" s="4">
        <v>24.114409937888205</v>
      </c>
      <c r="O97" s="4">
        <v>17673.540372670806</v>
      </c>
      <c r="P97" s="4">
        <v>99.418074534161391</v>
      </c>
      <c r="Q97" s="4">
        <v>100.58512422360265</v>
      </c>
      <c r="R97" s="4">
        <v>93.531118012422198</v>
      </c>
      <c r="S97" s="4">
        <v>106.91913043478256</v>
      </c>
      <c r="T97" s="4">
        <v>38.075155279503257</v>
      </c>
      <c r="U97" s="4">
        <v>34.5</v>
      </c>
      <c r="V97" s="4">
        <v>43.596894409938116</v>
      </c>
      <c r="W97" s="4">
        <v>43.596894409938116</v>
      </c>
      <c r="X97" s="4">
        <v>43.596894409938116</v>
      </c>
      <c r="Y97" s="5">
        <f t="shared" si="1"/>
        <v>92.986836618224359</v>
      </c>
      <c r="Z97" s="4">
        <f t="shared" si="2"/>
        <v>204.65390865984983</v>
      </c>
    </row>
    <row r="98" spans="2:26" x14ac:dyDescent="0.45">
      <c r="B98" s="1" t="s">
        <v>119</v>
      </c>
      <c r="C98" s="4">
        <v>0.66861386138613932</v>
      </c>
      <c r="D98" s="4">
        <v>0.65999999999999825</v>
      </c>
      <c r="E98" s="4">
        <v>0.65999999999999825</v>
      </c>
      <c r="F98" s="4">
        <v>12745.871287128713</v>
      </c>
      <c r="G98" s="4">
        <v>12579.990099009901</v>
      </c>
      <c r="H98" s="4">
        <v>12739.168316831683</v>
      </c>
      <c r="I98" s="4">
        <v>38064.950495049503</v>
      </c>
      <c r="J98" s="4">
        <v>419.11673267326739</v>
      </c>
      <c r="K98" s="4">
        <v>91.255841584158489</v>
      </c>
      <c r="L98" s="4">
        <v>38245.940594059408</v>
      </c>
      <c r="M98" s="4">
        <v>6999.029702970297</v>
      </c>
      <c r="N98" s="4">
        <v>49.84336633663365</v>
      </c>
      <c r="O98" s="4">
        <v>36532.079207920789</v>
      </c>
      <c r="P98" s="4">
        <v>99.525544554455493</v>
      </c>
      <c r="Q98" s="4">
        <v>100.47702970297028</v>
      </c>
      <c r="R98" s="4">
        <v>95.971782178217836</v>
      </c>
      <c r="S98" s="4">
        <v>104.19871287128721</v>
      </c>
      <c r="T98" s="4">
        <v>38.076237623762331</v>
      </c>
      <c r="U98" s="4">
        <v>34.5</v>
      </c>
      <c r="V98" s="4">
        <v>43.552475247524725</v>
      </c>
      <c r="W98" s="4">
        <v>43.552475247524725</v>
      </c>
      <c r="X98" s="4">
        <v>43.552475247524725</v>
      </c>
      <c r="Y98" s="5">
        <f t="shared" si="1"/>
        <v>95.516438831487179</v>
      </c>
      <c r="Z98" s="4">
        <f t="shared" si="2"/>
        <v>204.65567358081123</v>
      </c>
    </row>
    <row r="99" spans="2:26" x14ac:dyDescent="0.45">
      <c r="B99" s="1" t="s">
        <v>120</v>
      </c>
      <c r="C99" s="4">
        <v>0.75092592592592589</v>
      </c>
      <c r="D99" s="4">
        <v>0.75</v>
      </c>
      <c r="E99" s="4">
        <v>0.75</v>
      </c>
      <c r="F99" s="4">
        <v>25592.222222222223</v>
      </c>
      <c r="G99" s="4">
        <v>25383.703703703704</v>
      </c>
      <c r="H99" s="4">
        <v>25624.074074074073</v>
      </c>
      <c r="I99" s="4">
        <v>76599.629629629635</v>
      </c>
      <c r="J99" s="4">
        <v>418.76962962962966</v>
      </c>
      <c r="K99" s="4">
        <v>183.85592592592602</v>
      </c>
      <c r="L99" s="4">
        <v>76995.370370370365</v>
      </c>
      <c r="M99" s="4">
        <v>6999.7407407407409</v>
      </c>
      <c r="N99" s="4">
        <v>101.03481481481479</v>
      </c>
      <c r="O99" s="4">
        <v>74059.629629629635</v>
      </c>
      <c r="P99" s="4">
        <v>99.486851851851824</v>
      </c>
      <c r="Q99" s="4">
        <v>100.51629629629625</v>
      </c>
      <c r="R99" s="4">
        <v>96.684444444444381</v>
      </c>
      <c r="S99" s="4">
        <v>103.43129629629631</v>
      </c>
      <c r="T99" s="4">
        <v>38.09444444444442</v>
      </c>
      <c r="U99" s="4">
        <v>34.599999999999966</v>
      </c>
      <c r="V99" s="4">
        <v>43.537037037037017</v>
      </c>
      <c r="W99" s="4">
        <v>43.537037037037017</v>
      </c>
      <c r="X99" s="4">
        <v>43.537037037037017</v>
      </c>
      <c r="Y99" s="5">
        <f t="shared" si="1"/>
        <v>96.18831000823036</v>
      </c>
      <c r="Z99" s="4">
        <f t="shared" si="2"/>
        <v>204.63488453743929</v>
      </c>
    </row>
    <row r="100" spans="2:26" x14ac:dyDescent="0.45">
      <c r="B100" s="1" t="s">
        <v>121</v>
      </c>
      <c r="C100" s="4">
        <v>0.76999999999999946</v>
      </c>
      <c r="D100" s="4">
        <v>0.76999999999999946</v>
      </c>
      <c r="E100" s="4">
        <v>0.76999999999999946</v>
      </c>
      <c r="F100" s="4">
        <v>38672.537313432833</v>
      </c>
      <c r="G100" s="4">
        <v>38444.626865671642</v>
      </c>
      <c r="H100" s="4">
        <v>38754.626865671642</v>
      </c>
      <c r="I100" s="4">
        <v>115869.77611940299</v>
      </c>
      <c r="J100" s="4">
        <v>418.42664179104469</v>
      </c>
      <c r="K100" s="4">
        <v>278.73373134328358</v>
      </c>
      <c r="L100" s="4">
        <v>116631.71641791044</v>
      </c>
      <c r="M100" s="4">
        <v>6999.940298507463</v>
      </c>
      <c r="N100" s="4">
        <v>152.40126865671641</v>
      </c>
      <c r="O100" s="4">
        <v>111713.20895522388</v>
      </c>
      <c r="P100" s="4">
        <v>99.346940298507576</v>
      </c>
      <c r="Q100" s="4">
        <v>100.6554477611939</v>
      </c>
      <c r="R100" s="4">
        <v>96.413208955223936</v>
      </c>
      <c r="S100" s="4">
        <v>103.72052238805976</v>
      </c>
      <c r="T100" s="4">
        <v>38.088059701492547</v>
      </c>
      <c r="U100" s="4">
        <v>34.599999999999987</v>
      </c>
      <c r="V100" s="4">
        <v>43.5</v>
      </c>
      <c r="W100" s="4">
        <v>43.5</v>
      </c>
      <c r="X100" s="4">
        <v>43.5</v>
      </c>
      <c r="Y100" s="5">
        <f t="shared" si="1"/>
        <v>95.783573140621684</v>
      </c>
      <c r="Z100" s="4">
        <f t="shared" si="2"/>
        <v>204.62905070474784</v>
      </c>
    </row>
    <row r="101" spans="2:26" x14ac:dyDescent="0.45">
      <c r="B101" s="1" t="s">
        <v>122</v>
      </c>
      <c r="C101" s="4">
        <v>0.71000000000000063</v>
      </c>
      <c r="D101" s="4">
        <v>0.71459459459459451</v>
      </c>
      <c r="E101" s="4">
        <v>0.71000000000000063</v>
      </c>
      <c r="F101" s="4">
        <v>52570.54054054054</v>
      </c>
      <c r="G101" s="4">
        <v>52405.270270270274</v>
      </c>
      <c r="H101" s="4">
        <v>52731.351351351354</v>
      </c>
      <c r="I101" s="4">
        <v>157705.27027027027</v>
      </c>
      <c r="J101" s="4">
        <v>418.07202702702722</v>
      </c>
      <c r="K101" s="4">
        <v>380.69054054054072</v>
      </c>
      <c r="L101" s="4">
        <v>159157.43243243243</v>
      </c>
      <c r="M101" s="4">
        <v>6999.8513513513517</v>
      </c>
      <c r="N101" s="4">
        <v>204.84513513513497</v>
      </c>
      <c r="O101" s="4">
        <v>150152.29729729731</v>
      </c>
      <c r="P101" s="4">
        <v>99.087567567567604</v>
      </c>
      <c r="Q101" s="4">
        <v>100.92054054054051</v>
      </c>
      <c r="R101" s="4">
        <v>95.211621621621589</v>
      </c>
      <c r="S101" s="4">
        <v>105.03013513513513</v>
      </c>
      <c r="T101" s="4">
        <v>38.0959459459459</v>
      </c>
      <c r="U101" s="4">
        <v>34.800000000000018</v>
      </c>
      <c r="V101" s="4">
        <v>43.525675675675657</v>
      </c>
      <c r="W101" s="4">
        <v>43.525675675675657</v>
      </c>
      <c r="X101" s="4">
        <v>43.525675675675657</v>
      </c>
      <c r="Y101" s="5">
        <f t="shared" si="1"/>
        <v>94.342879906501096</v>
      </c>
      <c r="Z101" s="4">
        <f t="shared" si="2"/>
        <v>204.63165092741033</v>
      </c>
    </row>
    <row r="102" spans="2:26" x14ac:dyDescent="0.45">
      <c r="B102" s="1" t="s">
        <v>123</v>
      </c>
      <c r="C102" s="4">
        <v>0.70000000000000173</v>
      </c>
      <c r="D102" s="4">
        <v>0.70000000000000173</v>
      </c>
      <c r="E102" s="4">
        <v>0.70000000000000173</v>
      </c>
      <c r="F102" s="4">
        <v>53915.931034482761</v>
      </c>
      <c r="G102" s="4">
        <v>53756.551724137928</v>
      </c>
      <c r="H102" s="4">
        <v>54079.172413793101</v>
      </c>
      <c r="I102" s="4">
        <v>161751.93103448275</v>
      </c>
      <c r="J102" s="4">
        <v>418.11193103448261</v>
      </c>
      <c r="K102" s="4">
        <v>390.62344827586207</v>
      </c>
      <c r="L102" s="4">
        <v>163322.3448275862</v>
      </c>
      <c r="M102" s="4">
        <v>6999.2068965517237</v>
      </c>
      <c r="N102" s="4">
        <v>209.49324137931018</v>
      </c>
      <c r="O102" s="4">
        <v>153547.44827586206</v>
      </c>
      <c r="P102" s="4">
        <v>99.038482758620717</v>
      </c>
      <c r="Q102" s="4">
        <v>100.97165517241369</v>
      </c>
      <c r="R102" s="4">
        <v>94.928000000000026</v>
      </c>
      <c r="S102" s="4">
        <v>105.34296551724138</v>
      </c>
      <c r="T102" s="4">
        <v>38.09310344827589</v>
      </c>
      <c r="U102" s="4">
        <v>34.874482758620665</v>
      </c>
      <c r="V102" s="4">
        <v>43.670344827586092</v>
      </c>
      <c r="W102" s="4">
        <v>43.670344827586092</v>
      </c>
      <c r="X102" s="4">
        <v>43.670344827586092</v>
      </c>
      <c r="Y102" s="5">
        <f t="shared" si="1"/>
        <v>94.0152509131035</v>
      </c>
      <c r="Z102" s="4">
        <f>150000/M102/0.10472</f>
        <v>204.65049246925145</v>
      </c>
    </row>
    <row r="103" spans="2:26" x14ac:dyDescent="0.45">
      <c r="B103" s="1" t="s">
        <v>124</v>
      </c>
      <c r="C103" s="4">
        <v>0.41358974358974104</v>
      </c>
      <c r="D103" s="4">
        <v>0.40946386946386693</v>
      </c>
      <c r="E103" s="4">
        <v>0.40999999999999726</v>
      </c>
      <c r="F103" s="4">
        <v>7594.8228438228434</v>
      </c>
      <c r="G103" s="4">
        <v>7413.7855477855474</v>
      </c>
      <c r="H103" s="4">
        <v>7548.9650349650346</v>
      </c>
      <c r="I103" s="4">
        <v>22557.552447552447</v>
      </c>
      <c r="J103" s="4">
        <v>449.49578088578141</v>
      </c>
      <c r="K103" s="4">
        <v>50.599766899766941</v>
      </c>
      <c r="L103" s="4">
        <v>22744.128205128207</v>
      </c>
      <c r="M103" s="4">
        <v>7998.7552447552443</v>
      </c>
      <c r="N103" s="4">
        <v>24.975710955711026</v>
      </c>
      <c r="O103" s="4">
        <v>20919.883449883451</v>
      </c>
      <c r="P103" s="4">
        <v>99.179976689976655</v>
      </c>
      <c r="Q103" s="4">
        <v>100.82694638694635</v>
      </c>
      <c r="R103" s="4">
        <v>92.741538461538312</v>
      </c>
      <c r="S103" s="4">
        <v>107.82811188811179</v>
      </c>
      <c r="T103" s="4">
        <v>37.934265734265566</v>
      </c>
      <c r="U103" s="4">
        <v>34.108857808858083</v>
      </c>
      <c r="V103" s="4">
        <v>42.933566433566433</v>
      </c>
      <c r="W103" s="4">
        <v>42.933566433566433</v>
      </c>
      <c r="X103" s="4">
        <v>42.933566433566433</v>
      </c>
      <c r="Y103" s="5">
        <f t="shared" si="1"/>
        <v>91.981036228079432</v>
      </c>
      <c r="Z103" s="4">
        <f t="shared" si="2"/>
        <v>179.07675562553376</v>
      </c>
    </row>
    <row r="104" spans="2:26" x14ac:dyDescent="0.45">
      <c r="B104" s="1" t="s">
        <v>125</v>
      </c>
      <c r="C104" s="4">
        <v>0.58559440559440612</v>
      </c>
      <c r="D104" s="4">
        <v>0.57999999999999874</v>
      </c>
      <c r="E104" s="4">
        <v>0.57999999999999874</v>
      </c>
      <c r="F104" s="4">
        <v>14724.65034965035</v>
      </c>
      <c r="G104" s="4">
        <v>14521.104895104894</v>
      </c>
      <c r="H104" s="4">
        <v>14717.706293706293</v>
      </c>
      <c r="I104" s="4">
        <v>43963.377622377622</v>
      </c>
      <c r="J104" s="4">
        <v>449.37566433566451</v>
      </c>
      <c r="K104" s="4">
        <v>98.436923076923108</v>
      </c>
      <c r="L104" s="4">
        <v>44234.545454545456</v>
      </c>
      <c r="M104" s="4">
        <v>7998.9440559440563</v>
      </c>
      <c r="N104" s="4">
        <v>50.129580419580456</v>
      </c>
      <c r="O104" s="4">
        <v>41991.04895104895</v>
      </c>
      <c r="P104" s="4">
        <v>99.386503496503622</v>
      </c>
      <c r="Q104" s="4">
        <v>100.6176223776223</v>
      </c>
      <c r="R104" s="4">
        <v>95.512867132866987</v>
      </c>
      <c r="S104" s="4">
        <v>104.70020979020988</v>
      </c>
      <c r="T104" s="4">
        <v>37.944055944055926</v>
      </c>
      <c r="U104" s="4">
        <v>34.19999999999991</v>
      </c>
      <c r="V104" s="4">
        <v>42.869230769230761</v>
      </c>
      <c r="W104" s="4">
        <v>42.869230769230761</v>
      </c>
      <c r="X104" s="4">
        <v>42.869230769230761</v>
      </c>
      <c r="Y104" s="5">
        <f t="shared" si="1"/>
        <v>94.926899032617712</v>
      </c>
      <c r="Z104" s="4">
        <f t="shared" si="2"/>
        <v>179.07252860570691</v>
      </c>
    </row>
    <row r="105" spans="2:26" x14ac:dyDescent="0.45">
      <c r="B105" s="1" t="s">
        <v>126</v>
      </c>
      <c r="C105" s="4">
        <v>0.7129565217391296</v>
      </c>
      <c r="D105" s="4">
        <v>0.70999999999999919</v>
      </c>
      <c r="E105" s="4">
        <v>0.70999999999999919</v>
      </c>
      <c r="F105" s="4">
        <v>29646.434782608696</v>
      </c>
      <c r="G105" s="4">
        <v>29388.521739130436</v>
      </c>
      <c r="H105" s="4">
        <v>29715.130434782608</v>
      </c>
      <c r="I105" s="4">
        <v>88749.391304347824</v>
      </c>
      <c r="J105" s="4">
        <v>448.72208695652193</v>
      </c>
      <c r="K105" s="4">
        <v>198.98617391304333</v>
      </c>
      <c r="L105" s="4">
        <v>89289.65217391304</v>
      </c>
      <c r="M105" s="4">
        <v>7998.7739130434784</v>
      </c>
      <c r="N105" s="4">
        <v>101.94608695652177</v>
      </c>
      <c r="O105" s="4">
        <v>85393.130434782608</v>
      </c>
      <c r="P105" s="4">
        <v>99.394695652173965</v>
      </c>
      <c r="Q105" s="4">
        <v>100.60939130434771</v>
      </c>
      <c r="R105" s="4">
        <v>96.219478260869693</v>
      </c>
      <c r="S105" s="4">
        <v>103.92895652173918</v>
      </c>
      <c r="T105" s="4">
        <v>37.942608695652197</v>
      </c>
      <c r="U105" s="4">
        <v>34.300000000000068</v>
      </c>
      <c r="V105" s="4">
        <v>42.800000000000097</v>
      </c>
      <c r="W105" s="4">
        <v>42.800000000000097</v>
      </c>
      <c r="X105" s="4">
        <v>42.800000000000097</v>
      </c>
      <c r="Y105" s="5">
        <f t="shared" si="1"/>
        <v>95.637057575501132</v>
      </c>
      <c r="Z105" s="4">
        <f t="shared" si="2"/>
        <v>179.07633767941772</v>
      </c>
    </row>
    <row r="106" spans="2:26" x14ac:dyDescent="0.45">
      <c r="B106" s="1" t="s">
        <v>127</v>
      </c>
      <c r="C106" s="4">
        <v>0.72888888888888914</v>
      </c>
      <c r="D106" s="4">
        <v>0.7300000000000002</v>
      </c>
      <c r="E106" s="4">
        <v>0.72587301587301545</v>
      </c>
      <c r="F106" s="4">
        <v>44804.126984126982</v>
      </c>
      <c r="G106" s="4">
        <v>44521.428571428572</v>
      </c>
      <c r="H106" s="4">
        <v>44965.238095238092</v>
      </c>
      <c r="I106" s="4">
        <v>134291.03174603175</v>
      </c>
      <c r="J106" s="4">
        <v>448.05833333333311</v>
      </c>
      <c r="K106" s="4">
        <v>301.95579365079345</v>
      </c>
      <c r="L106" s="4">
        <v>135293.96825396825</v>
      </c>
      <c r="M106" s="4">
        <v>7999.2619047619046</v>
      </c>
      <c r="N106" s="4">
        <v>153.47865079365079</v>
      </c>
      <c r="O106" s="4">
        <v>128566.66666666667</v>
      </c>
      <c r="P106" s="4">
        <v>99.257698412698488</v>
      </c>
      <c r="Q106" s="4">
        <v>100.74769841269838</v>
      </c>
      <c r="R106" s="4">
        <v>95.736349206349288</v>
      </c>
      <c r="S106" s="4">
        <v>104.45349206349211</v>
      </c>
      <c r="T106" s="4">
        <v>37.93730158730159</v>
      </c>
      <c r="U106" s="4">
        <v>34.411111111111154</v>
      </c>
      <c r="V106" s="4">
        <v>42.800000000000104</v>
      </c>
      <c r="W106" s="4">
        <v>42.800000000000104</v>
      </c>
      <c r="X106" s="4">
        <v>42.800000000000104</v>
      </c>
      <c r="Y106" s="5">
        <f t="shared" si="1"/>
        <v>95.025696766566043</v>
      </c>
      <c r="Z106" s="4">
        <f t="shared" si="2"/>
        <v>179.06541320028526</v>
      </c>
    </row>
    <row r="107" spans="2:26" x14ac:dyDescent="0.45">
      <c r="B107" s="1" t="s">
        <v>128</v>
      </c>
      <c r="C107" s="4">
        <v>0.65000000000000113</v>
      </c>
      <c r="D107" s="4">
        <v>0.65000000000000113</v>
      </c>
      <c r="E107" s="4">
        <v>0.65000000000000113</v>
      </c>
      <c r="F107" s="4">
        <v>53109.929577464791</v>
      </c>
      <c r="G107" s="4">
        <v>52867.816901408449</v>
      </c>
      <c r="H107" s="4">
        <v>53338.169014084509</v>
      </c>
      <c r="I107" s="4">
        <v>159314.15492957746</v>
      </c>
      <c r="J107" s="4">
        <v>447.75035211267584</v>
      </c>
      <c r="K107" s="4">
        <v>359.45704225352085</v>
      </c>
      <c r="L107" s="4">
        <v>160949.64788732395</v>
      </c>
      <c r="M107" s="4">
        <v>7999.2394366197186</v>
      </c>
      <c r="N107" s="4">
        <v>179.41098591549274</v>
      </c>
      <c r="O107" s="4">
        <v>150287.60563380283</v>
      </c>
      <c r="P107" s="4">
        <v>98.984366197183022</v>
      </c>
      <c r="Q107" s="4">
        <v>101.02661971831009</v>
      </c>
      <c r="R107" s="4">
        <v>94.334929577464763</v>
      </c>
      <c r="S107" s="4">
        <v>106.00690140845074</v>
      </c>
      <c r="T107" s="4">
        <v>37.941549295774628</v>
      </c>
      <c r="U107" s="4">
        <v>34.597887323943667</v>
      </c>
      <c r="V107" s="4">
        <v>42.878169014084463</v>
      </c>
      <c r="W107" s="4">
        <v>42.878169014084463</v>
      </c>
      <c r="X107" s="4">
        <v>42.878169014084463</v>
      </c>
      <c r="Y107" s="5">
        <f t="shared" si="1"/>
        <v>93.37683214481244</v>
      </c>
      <c r="Z107" s="4">
        <f t="shared" si="2"/>
        <v>179.06591615649705</v>
      </c>
    </row>
    <row r="108" spans="2:26" x14ac:dyDescent="0.45">
      <c r="B108" s="1" t="s">
        <v>129</v>
      </c>
      <c r="C108" s="4">
        <v>0.37324324324324293</v>
      </c>
      <c r="D108" s="4">
        <v>0.3648648648648643</v>
      </c>
      <c r="E108" s="4">
        <v>0.37064864864864844</v>
      </c>
      <c r="F108" s="4">
        <v>8514.7351351351354</v>
      </c>
      <c r="G108" s="4">
        <v>8292.8864864864863</v>
      </c>
      <c r="H108" s="4">
        <v>8465.7081081081087</v>
      </c>
      <c r="I108" s="4">
        <v>25273.281081081081</v>
      </c>
      <c r="J108" s="4">
        <v>449.5575135135133</v>
      </c>
      <c r="K108" s="4">
        <v>56.789999999999907</v>
      </c>
      <c r="L108" s="4">
        <v>25530.129729729731</v>
      </c>
      <c r="M108" s="4">
        <v>9001.4432432432441</v>
      </c>
      <c r="N108" s="4">
        <v>24.740216216216215</v>
      </c>
      <c r="O108" s="4">
        <v>23321.297297297297</v>
      </c>
      <c r="P108" s="4">
        <v>98.994270270270349</v>
      </c>
      <c r="Q108" s="4">
        <v>101.01675675675692</v>
      </c>
      <c r="R108" s="4">
        <v>92.286216216216204</v>
      </c>
      <c r="S108" s="4">
        <v>108.37270270270277</v>
      </c>
      <c r="T108" s="4">
        <v>37.90756756756749</v>
      </c>
      <c r="U108" s="4">
        <v>31.599459459459528</v>
      </c>
      <c r="V108" s="4">
        <v>40.300000000000125</v>
      </c>
      <c r="W108" s="4">
        <v>40.300000000000125</v>
      </c>
      <c r="X108" s="4">
        <v>40.300000000000125</v>
      </c>
      <c r="Y108" s="5">
        <f t="shared" si="1"/>
        <v>91.358066303287131</v>
      </c>
      <c r="Z108" s="4">
        <f t="shared" si="2"/>
        <v>159.1290529270056</v>
      </c>
    </row>
    <row r="109" spans="2:26" x14ac:dyDescent="0.45">
      <c r="B109" s="1" t="s">
        <v>130</v>
      </c>
      <c r="C109" s="4">
        <v>0.57757009345794297</v>
      </c>
      <c r="D109" s="4">
        <v>0.57327102803738295</v>
      </c>
      <c r="E109" s="4">
        <v>0.57439252336448565</v>
      </c>
      <c r="F109" s="4">
        <v>16983.196261682242</v>
      </c>
      <c r="G109" s="4">
        <v>16742.11214953271</v>
      </c>
      <c r="H109" s="4">
        <v>16998.710280373831</v>
      </c>
      <c r="I109" s="4">
        <v>50724.093457943927</v>
      </c>
      <c r="J109" s="4">
        <v>449.16308411214982</v>
      </c>
      <c r="K109" s="4">
        <v>113.70532710280382</v>
      </c>
      <c r="L109" s="4">
        <v>51072.897196261685</v>
      </c>
      <c r="M109" s="4">
        <v>9001.0560747663549</v>
      </c>
      <c r="N109" s="4">
        <v>51.178130841121515</v>
      </c>
      <c r="O109" s="4">
        <v>48241.962616822428</v>
      </c>
      <c r="P109" s="4">
        <v>99.317570093457874</v>
      </c>
      <c r="Q109" s="4">
        <v>100.68551401869162</v>
      </c>
      <c r="R109" s="4">
        <v>95.110654205607446</v>
      </c>
      <c r="S109" s="4">
        <v>105.14850467289727</v>
      </c>
      <c r="T109" s="4">
        <v>37.904672897196313</v>
      </c>
      <c r="U109" s="4">
        <v>31.705607476635478</v>
      </c>
      <c r="V109" s="4">
        <v>40.347663551401887</v>
      </c>
      <c r="W109" s="4">
        <v>40.347663551401887</v>
      </c>
      <c r="X109" s="4">
        <v>40.347663551401887</v>
      </c>
      <c r="Y109" s="5">
        <f t="shared" si="1"/>
        <v>94.461590657000514</v>
      </c>
      <c r="Z109" s="4">
        <f t="shared" si="2"/>
        <v>159.1358976519511</v>
      </c>
    </row>
    <row r="110" spans="2:26" x14ac:dyDescent="0.45">
      <c r="B110" s="1" t="s">
        <v>131</v>
      </c>
      <c r="C110" s="4">
        <v>0.72037037037036955</v>
      </c>
      <c r="D110" s="4">
        <v>0.71940740740740661</v>
      </c>
      <c r="E110" s="4">
        <v>0.7199999999999992</v>
      </c>
      <c r="F110" s="4">
        <v>33843.185185185182</v>
      </c>
      <c r="G110" s="4">
        <v>33559.259259259263</v>
      </c>
      <c r="H110" s="4">
        <v>33983.481481481482</v>
      </c>
      <c r="I110" s="4">
        <v>101387.11111111111</v>
      </c>
      <c r="J110" s="4">
        <v>448.51148148148087</v>
      </c>
      <c r="K110" s="4">
        <v>227.53459259259259</v>
      </c>
      <c r="L110" s="4">
        <v>102053.33333333333</v>
      </c>
      <c r="M110" s="4">
        <v>8997.822222222223</v>
      </c>
      <c r="N110" s="4">
        <v>103.12696296296289</v>
      </c>
      <c r="O110" s="4">
        <v>97170.962962962964</v>
      </c>
      <c r="P110" s="4">
        <v>99.345851851851961</v>
      </c>
      <c r="Q110" s="4">
        <v>100.65837037037032</v>
      </c>
      <c r="R110" s="4">
        <v>95.843407407407355</v>
      </c>
      <c r="S110" s="4">
        <v>104.3386666666667</v>
      </c>
      <c r="T110" s="4">
        <v>37.908148148148136</v>
      </c>
      <c r="U110" s="4">
        <v>31.900000000000041</v>
      </c>
      <c r="V110" s="4">
        <v>40.351851851851826</v>
      </c>
      <c r="W110" s="4">
        <v>40.351851851851826</v>
      </c>
      <c r="X110" s="4">
        <v>40.351851851851826</v>
      </c>
      <c r="Y110" s="5">
        <f t="shared" si="1"/>
        <v>95.216449532729825</v>
      </c>
      <c r="Z110" s="4">
        <f t="shared" si="2"/>
        <v>159.19309171677864</v>
      </c>
    </row>
    <row r="111" spans="2:26" x14ac:dyDescent="0.45">
      <c r="B111" s="1" t="s">
        <v>132</v>
      </c>
      <c r="C111" s="4">
        <v>0.67914062500000161</v>
      </c>
      <c r="D111" s="4">
        <v>0.67945312500000155</v>
      </c>
      <c r="E111" s="4">
        <v>0.67914062500000161</v>
      </c>
      <c r="F111" s="4">
        <v>52179.609375</v>
      </c>
      <c r="G111" s="4">
        <v>51922.1875</v>
      </c>
      <c r="H111" s="4">
        <v>52550.3125</v>
      </c>
      <c r="I111" s="4">
        <v>156653.75</v>
      </c>
      <c r="J111" s="4">
        <v>447.71265624999984</v>
      </c>
      <c r="K111" s="4">
        <v>353.20546874999985</v>
      </c>
      <c r="L111" s="4">
        <v>158135.15625</v>
      </c>
      <c r="M111" s="4">
        <v>9001.96875</v>
      </c>
      <c r="N111" s="4">
        <v>157.25343750000027</v>
      </c>
      <c r="O111" s="4">
        <v>148241.09375</v>
      </c>
      <c r="P111" s="4">
        <v>99.064375000000126</v>
      </c>
      <c r="Q111" s="4">
        <v>100.94484374999989</v>
      </c>
      <c r="R111" s="4">
        <v>94.63359375000006</v>
      </c>
      <c r="S111" s="4">
        <v>105.67687499999991</v>
      </c>
      <c r="T111" s="4">
        <v>37.899218750000003</v>
      </c>
      <c r="U111" s="4">
        <v>32.099999999999937</v>
      </c>
      <c r="V111" s="4">
        <v>40.415624999999963</v>
      </c>
      <c r="W111" s="4">
        <v>40.415624999999963</v>
      </c>
      <c r="X111" s="4">
        <v>40.415624999999963</v>
      </c>
      <c r="Y111" s="5">
        <f t="shared" si="1"/>
        <v>93.748178188476743</v>
      </c>
      <c r="Z111" s="4">
        <f t="shared" si="2"/>
        <v>159.11976347101754</v>
      </c>
    </row>
    <row r="112" spans="2:26" x14ac:dyDescent="0.45">
      <c r="B112" s="1" t="s">
        <v>133</v>
      </c>
      <c r="C112" s="4">
        <v>0.67068421052631744</v>
      </c>
      <c r="D112" s="4">
        <v>0.6733157894736862</v>
      </c>
      <c r="E112" s="4">
        <v>0.67094736842105429</v>
      </c>
      <c r="F112" s="4">
        <v>55133.26315789474</v>
      </c>
      <c r="G112" s="4">
        <v>54886.789473684214</v>
      </c>
      <c r="H112" s="4">
        <v>55565.57894736842</v>
      </c>
      <c r="I112" s="4">
        <v>165585</v>
      </c>
      <c r="J112" s="4">
        <v>447.61989473684133</v>
      </c>
      <c r="K112" s="4">
        <v>373.57263157894755</v>
      </c>
      <c r="L112" s="4">
        <v>167226</v>
      </c>
      <c r="M112" s="4">
        <v>9001.8105263157886</v>
      </c>
      <c r="N112" s="4">
        <v>165.44015789473679</v>
      </c>
      <c r="O112" s="4">
        <v>155955</v>
      </c>
      <c r="P112" s="4">
        <v>99.019578947368544</v>
      </c>
      <c r="Q112" s="4">
        <v>100.99021052631559</v>
      </c>
      <c r="R112" s="4">
        <v>94.187789473684191</v>
      </c>
      <c r="S112" s="4">
        <v>106.17521052631587</v>
      </c>
      <c r="T112" s="4">
        <v>37.902105263157814</v>
      </c>
      <c r="U112" s="4">
        <v>32.250000000000064</v>
      </c>
      <c r="V112" s="4">
        <v>40.593684210526362</v>
      </c>
      <c r="W112" s="4">
        <v>40.593684210526362</v>
      </c>
      <c r="X112" s="4">
        <v>40.593684210526362</v>
      </c>
      <c r="Y112" s="5">
        <f t="shared" si="1"/>
        <v>93.264352556676002</v>
      </c>
      <c r="Z112" s="4">
        <f t="shared" si="2"/>
        <v>159.12256029895937</v>
      </c>
    </row>
    <row r="113" spans="2:26" x14ac:dyDescent="0.45">
      <c r="B113" s="1" t="s">
        <v>134</v>
      </c>
      <c r="C113" s="4">
        <v>0.36305454545454557</v>
      </c>
      <c r="D113" s="4">
        <v>0.35549090909090836</v>
      </c>
      <c r="E113" s="4">
        <v>0.35999999999999954</v>
      </c>
      <c r="F113" s="4">
        <v>9819.1563636363644</v>
      </c>
      <c r="G113" s="4">
        <v>9543.0436363636363</v>
      </c>
      <c r="H113" s="4">
        <v>9776.4981818181823</v>
      </c>
      <c r="I113" s="4">
        <v>29138.738181818182</v>
      </c>
      <c r="J113" s="4">
        <v>449.46767272727379</v>
      </c>
      <c r="K113" s="4">
        <v>65.571927272727137</v>
      </c>
      <c r="L113" s="4">
        <v>29472.345454545455</v>
      </c>
      <c r="M113" s="4">
        <v>10003.945454545454</v>
      </c>
      <c r="N113" s="4">
        <v>25.576472727272751</v>
      </c>
      <c r="O113" s="4">
        <v>26793.672727272726</v>
      </c>
      <c r="P113" s="4">
        <v>98.86894545454534</v>
      </c>
      <c r="Q113" s="4">
        <v>101.14570909090904</v>
      </c>
      <c r="R113" s="4">
        <v>91.954727272727183</v>
      </c>
      <c r="S113" s="4">
        <v>108.75239999999987</v>
      </c>
      <c r="T113" s="4">
        <v>37.609818181818355</v>
      </c>
      <c r="U113" s="4">
        <v>31.665090909090843</v>
      </c>
      <c r="V113" s="4">
        <v>40.610545454545672</v>
      </c>
      <c r="W113" s="4">
        <v>40.610545454545672</v>
      </c>
      <c r="X113" s="4">
        <v>40.610545454545672</v>
      </c>
      <c r="Y113" s="5">
        <f t="shared" si="1"/>
        <v>90.914669150148569</v>
      </c>
      <c r="Z113" s="4">
        <f t="shared" si="2"/>
        <v>143.18262177475802</v>
      </c>
    </row>
    <row r="114" spans="2:26" x14ac:dyDescent="0.45">
      <c r="B114" s="1" t="s">
        <v>135</v>
      </c>
      <c r="C114" s="4">
        <v>0.56150602409638628</v>
      </c>
      <c r="D114" s="4">
        <v>0.55951807228915795</v>
      </c>
      <c r="E114" s="4">
        <v>0.56000000000000139</v>
      </c>
      <c r="F114" s="4">
        <v>18857.168674698794</v>
      </c>
      <c r="G114" s="4">
        <v>18567.831325301206</v>
      </c>
      <c r="H114" s="4">
        <v>18894.036144578313</v>
      </c>
      <c r="I114" s="4">
        <v>56320</v>
      </c>
      <c r="J114" s="4">
        <v>449.04295180722858</v>
      </c>
      <c r="K114" s="4">
        <v>126.36361445783129</v>
      </c>
      <c r="L114" s="4">
        <v>56743.072289156626</v>
      </c>
      <c r="M114" s="4">
        <v>10004.301204819278</v>
      </c>
      <c r="N114" s="4">
        <v>50.951807228915605</v>
      </c>
      <c r="O114" s="4">
        <v>53378.313253012049</v>
      </c>
      <c r="P114" s="4">
        <v>99.254397590361464</v>
      </c>
      <c r="Q114" s="4">
        <v>100.75090361445787</v>
      </c>
      <c r="R114" s="4">
        <v>94.778012048192721</v>
      </c>
      <c r="S114" s="4">
        <v>105.50981927710839</v>
      </c>
      <c r="T114" s="4">
        <v>37.638554216867469</v>
      </c>
      <c r="U114" s="4">
        <v>31.8000000000001</v>
      </c>
      <c r="V114" s="4">
        <v>40.600000000000108</v>
      </c>
      <c r="W114" s="4">
        <v>40.600000000000108</v>
      </c>
      <c r="X114" s="4">
        <v>40.600000000000108</v>
      </c>
      <c r="Y114" s="5">
        <f t="shared" si="1"/>
        <v>94.071344906553904</v>
      </c>
      <c r="Z114" s="4">
        <f t="shared" si="2"/>
        <v>143.17753023904149</v>
      </c>
    </row>
    <row r="115" spans="2:26" x14ac:dyDescent="0.45">
      <c r="B115" s="1" t="s">
        <v>136</v>
      </c>
      <c r="C115" s="4">
        <v>0.73000000000000009</v>
      </c>
      <c r="D115" s="4">
        <v>0.72916666666666652</v>
      </c>
      <c r="E115" s="4">
        <v>0.73000000000000009</v>
      </c>
      <c r="F115" s="4">
        <v>38059.416666666664</v>
      </c>
      <c r="G115" s="4">
        <v>37737.5</v>
      </c>
      <c r="H115" s="4">
        <v>38300.833333333336</v>
      </c>
      <c r="I115" s="4">
        <v>114097.08333333333</v>
      </c>
      <c r="J115" s="4">
        <v>448.2494999999999</v>
      </c>
      <c r="K115" s="4">
        <v>256.29591666666687</v>
      </c>
      <c r="L115" s="4">
        <v>114885.33333333333</v>
      </c>
      <c r="M115" s="4">
        <v>10005.299999999999</v>
      </c>
      <c r="N115" s="4">
        <v>103.94349999999994</v>
      </c>
      <c r="O115" s="4">
        <v>108908</v>
      </c>
      <c r="P115" s="4">
        <v>99.313666666666677</v>
      </c>
      <c r="Q115" s="4">
        <v>100.69058333333332</v>
      </c>
      <c r="R115" s="4">
        <v>95.451500000000024</v>
      </c>
      <c r="S115" s="4">
        <v>104.76708333333343</v>
      </c>
      <c r="T115" s="4">
        <v>37.645833333333272</v>
      </c>
      <c r="U115" s="4">
        <v>32.015833333333319</v>
      </c>
      <c r="V115" s="4">
        <v>40.608333333333306</v>
      </c>
      <c r="W115" s="4">
        <v>40.608333333333306</v>
      </c>
      <c r="X115" s="4">
        <v>40.608333333333306</v>
      </c>
      <c r="Y115" s="5">
        <f t="shared" si="1"/>
        <v>94.796384538333371</v>
      </c>
      <c r="Z115" s="4">
        <f t="shared" si="2"/>
        <v>143.16323731157399</v>
      </c>
    </row>
    <row r="116" spans="2:26" x14ac:dyDescent="0.45">
      <c r="B116" s="1" t="s">
        <v>137</v>
      </c>
      <c r="C116" s="4">
        <v>0.69019607843137176</v>
      </c>
      <c r="D116" s="4">
        <v>0.69068627450980324</v>
      </c>
      <c r="E116" s="4">
        <v>0.69117647058823461</v>
      </c>
      <c r="F116" s="4">
        <v>55802.156862745098</v>
      </c>
      <c r="G116" s="4">
        <v>55534.01960784314</v>
      </c>
      <c r="H116" s="4">
        <v>56391.862745098042</v>
      </c>
      <c r="I116" s="4">
        <v>167729.31372549021</v>
      </c>
      <c r="J116" s="4">
        <v>447.44705882352946</v>
      </c>
      <c r="K116" s="4">
        <v>378.35980392156875</v>
      </c>
      <c r="L116" s="4">
        <v>169300.19607843139</v>
      </c>
      <c r="M116" s="4">
        <v>10005.960784313726</v>
      </c>
      <c r="N116" s="4">
        <v>150.55245098039211</v>
      </c>
      <c r="O116" s="4">
        <v>157749.80392156861</v>
      </c>
      <c r="P116" s="4">
        <v>99.071862745098002</v>
      </c>
      <c r="Q116" s="4">
        <v>100.93637254901951</v>
      </c>
      <c r="R116" s="4">
        <v>94.054313725490246</v>
      </c>
      <c r="S116" s="4">
        <v>106.32421568627447</v>
      </c>
      <c r="T116" s="4">
        <v>37.644117647058749</v>
      </c>
      <c r="U116" s="4">
        <v>32.199999999999953</v>
      </c>
      <c r="V116" s="4">
        <v>40.680392156862659</v>
      </c>
      <c r="W116" s="4">
        <v>40.680392156862659</v>
      </c>
      <c r="X116" s="4">
        <v>40.680392156862659</v>
      </c>
      <c r="Y116" s="5">
        <f t="shared" si="1"/>
        <v>93.181360599961579</v>
      </c>
      <c r="Z116" s="4">
        <f t="shared" si="2"/>
        <v>143.15378294496625</v>
      </c>
    </row>
    <row r="117" spans="2:26" x14ac:dyDescent="0.45">
      <c r="B117" s="1" t="s">
        <v>138</v>
      </c>
      <c r="C117" s="4">
        <v>0.36972881355932319</v>
      </c>
      <c r="D117" s="4">
        <v>0.35999999999999954</v>
      </c>
      <c r="E117" s="4">
        <v>0.36132203389830453</v>
      </c>
      <c r="F117" s="4">
        <v>11119.081355932203</v>
      </c>
      <c r="G117" s="4">
        <v>10816.725423728814</v>
      </c>
      <c r="H117" s="4">
        <v>11101.694915254237</v>
      </c>
      <c r="I117" s="4">
        <v>33037.437288135596</v>
      </c>
      <c r="J117" s="4">
        <v>449.4976271186444</v>
      </c>
      <c r="K117" s="4">
        <v>74.36894915254247</v>
      </c>
      <c r="L117" s="4">
        <v>33428.569491525421</v>
      </c>
      <c r="M117" s="4">
        <v>10999.294915254237</v>
      </c>
      <c r="N117" s="4">
        <v>25.981016949152494</v>
      </c>
      <c r="O117" s="4">
        <v>29925.796610169491</v>
      </c>
      <c r="P117" s="4">
        <v>98.830169491525481</v>
      </c>
      <c r="Q117" s="4">
        <v>101.18335593220338</v>
      </c>
      <c r="R117" s="4">
        <v>90.58406779661</v>
      </c>
      <c r="S117" s="4">
        <v>110.4033898305084</v>
      </c>
      <c r="T117" s="4">
        <v>37.925423728813421</v>
      </c>
      <c r="U117" s="4">
        <v>33.100000000000186</v>
      </c>
      <c r="V117" s="4">
        <v>41.687118644067958</v>
      </c>
      <c r="W117" s="4">
        <v>41.687118644067958</v>
      </c>
      <c r="X117" s="4">
        <v>41.687118644067958</v>
      </c>
      <c r="Y117" s="5">
        <f t="shared" si="1"/>
        <v>89.524387735708032</v>
      </c>
      <c r="Z117" s="4">
        <f t="shared" si="2"/>
        <v>130.22572349496667</v>
      </c>
    </row>
    <row r="118" spans="2:26" x14ac:dyDescent="0.45">
      <c r="B118" s="1" t="s">
        <v>139</v>
      </c>
      <c r="C118" s="4">
        <v>0.57999999999999874</v>
      </c>
      <c r="D118" s="4">
        <v>0.57097902097901976</v>
      </c>
      <c r="E118" s="4">
        <v>0.57999999999999874</v>
      </c>
      <c r="F118" s="4">
        <v>21588.88111888112</v>
      </c>
      <c r="G118" s="4">
        <v>21284.335664335664</v>
      </c>
      <c r="H118" s="4">
        <v>21682.937062937064</v>
      </c>
      <c r="I118" s="4">
        <v>64555.524475524478</v>
      </c>
      <c r="J118" s="4">
        <v>449.07937062937009</v>
      </c>
      <c r="K118" s="4">
        <v>144.85972027972008</v>
      </c>
      <c r="L118" s="4">
        <v>65053.706293706295</v>
      </c>
      <c r="M118" s="4">
        <v>10999.23076923077</v>
      </c>
      <c r="N118" s="4">
        <v>52.764685314685188</v>
      </c>
      <c r="O118" s="4">
        <v>60777.622377622378</v>
      </c>
      <c r="P118" s="4">
        <v>99.233356643356615</v>
      </c>
      <c r="Q118" s="4">
        <v>100.77223776223782</v>
      </c>
      <c r="R118" s="4">
        <v>94.147622377622312</v>
      </c>
      <c r="S118" s="4">
        <v>106.21622377622387</v>
      </c>
      <c r="T118" s="4">
        <v>37.922377622377596</v>
      </c>
      <c r="U118" s="4">
        <v>33.19999999999991</v>
      </c>
      <c r="V118" s="4">
        <v>41.606293706293741</v>
      </c>
      <c r="W118" s="4">
        <v>41.606293706293741</v>
      </c>
      <c r="X118" s="4">
        <v>41.606293706293741</v>
      </c>
      <c r="Y118" s="5">
        <f t="shared" si="1"/>
        <v>93.425845885226579</v>
      </c>
      <c r="Z118" s="4">
        <f t="shared" si="2"/>
        <v>130.22648295374074</v>
      </c>
    </row>
    <row r="119" spans="2:26" x14ac:dyDescent="0.45">
      <c r="B119" s="1" t="s">
        <v>140</v>
      </c>
      <c r="C119" s="4">
        <v>0.73999999999999866</v>
      </c>
      <c r="D119" s="4">
        <v>0.73999999999999866</v>
      </c>
      <c r="E119" s="4">
        <v>0.74038461538461409</v>
      </c>
      <c r="F119" s="4">
        <v>42892.461538461539</v>
      </c>
      <c r="G119" s="4">
        <v>42592.692307692305</v>
      </c>
      <c r="H119" s="4">
        <v>43263.769230769234</v>
      </c>
      <c r="I119" s="4">
        <v>128748.61538461539</v>
      </c>
      <c r="J119" s="4">
        <v>448.13384615384604</v>
      </c>
      <c r="K119" s="4">
        <v>289.37576923076921</v>
      </c>
      <c r="L119" s="4">
        <v>129679.23076923077</v>
      </c>
      <c r="M119" s="4">
        <v>11000.061538461538</v>
      </c>
      <c r="N119" s="4">
        <v>105.9094615384615</v>
      </c>
      <c r="O119" s="4">
        <v>122000.84615384616</v>
      </c>
      <c r="P119" s="4">
        <v>99.283000000000072</v>
      </c>
      <c r="Q119" s="4">
        <v>100.72238461538456</v>
      </c>
      <c r="R119" s="4">
        <v>94.758461538461489</v>
      </c>
      <c r="S119" s="4">
        <v>105.53253846153849</v>
      </c>
      <c r="T119" s="4">
        <v>37.920769230769231</v>
      </c>
      <c r="U119" s="4">
        <v>33.400000000000041</v>
      </c>
      <c r="V119" s="4">
        <v>41.600000000000044</v>
      </c>
      <c r="W119" s="4">
        <v>41.600000000000044</v>
      </c>
      <c r="X119" s="4">
        <v>41.600000000000044</v>
      </c>
      <c r="Y119" s="5">
        <f t="shared" si="1"/>
        <v>94.079043369230789</v>
      </c>
      <c r="Z119" s="4">
        <f t="shared" si="2"/>
        <v>130.21664772193853</v>
      </c>
    </row>
    <row r="120" spans="2:26" x14ac:dyDescent="0.45">
      <c r="B120" s="1" t="s">
        <v>141</v>
      </c>
      <c r="C120" s="4">
        <v>0.69283783783783726</v>
      </c>
      <c r="D120" s="4">
        <v>0.69391891891891899</v>
      </c>
      <c r="E120" s="4">
        <v>0.69486486486486532</v>
      </c>
      <c r="F120" s="4">
        <v>54910.135135135133</v>
      </c>
      <c r="G120" s="4">
        <v>54765.270270270274</v>
      </c>
      <c r="H120" s="4">
        <v>55640.270270270274</v>
      </c>
      <c r="I120" s="4">
        <v>165314.59459459459</v>
      </c>
      <c r="J120" s="4">
        <v>447.62202702702672</v>
      </c>
      <c r="K120" s="4">
        <v>372.71351351351365</v>
      </c>
      <c r="L120" s="4">
        <v>166832.97297297296</v>
      </c>
      <c r="M120" s="4">
        <v>11000.337837837838</v>
      </c>
      <c r="N120" s="4">
        <v>133.78283783783783</v>
      </c>
      <c r="O120" s="4">
        <v>154113.10810810811</v>
      </c>
      <c r="P120" s="4">
        <v>99.09000000000006</v>
      </c>
      <c r="Q120" s="4">
        <v>100.91905405405406</v>
      </c>
      <c r="R120" s="4">
        <v>93.234324324324319</v>
      </c>
      <c r="S120" s="4">
        <v>107.2713513513513</v>
      </c>
      <c r="T120" s="4">
        <v>37.916216216216242</v>
      </c>
      <c r="U120" s="4">
        <v>33.514864864864855</v>
      </c>
      <c r="V120" s="4">
        <v>41.625675675675652</v>
      </c>
      <c r="W120" s="4">
        <v>41.625675675675652</v>
      </c>
      <c r="X120" s="4">
        <v>41.625675675675652</v>
      </c>
      <c r="Y120" s="5">
        <f t="shared" si="1"/>
        <v>92.385891972973027</v>
      </c>
      <c r="Z120" s="4">
        <f t="shared" si="2"/>
        <v>130.21337702433999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OfficeDesk</dc:creator>
  <cp:lastModifiedBy>모젠코리아</cp:lastModifiedBy>
  <dcterms:created xsi:type="dcterms:W3CDTF">2023-09-27T09:43:08Z</dcterms:created>
  <dcterms:modified xsi:type="dcterms:W3CDTF">2025-10-14T23:32:44Z</dcterms:modified>
</cp:coreProperties>
</file>